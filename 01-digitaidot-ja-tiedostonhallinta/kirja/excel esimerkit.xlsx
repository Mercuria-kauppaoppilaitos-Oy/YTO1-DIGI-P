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kol-my.sharepoint.com/personal/hannu_kongas_mercuria_fi/Documents/ekampus/YTO1-DIGI-P/01-digitaidot-ja-tiedostonhallinta/kirja/"/>
    </mc:Choice>
  </mc:AlternateContent>
  <xr:revisionPtr revIDLastSave="64" documentId="8_{D270662D-75E8-4496-BFF5-EB71A791891B}" xr6:coauthVersionLast="47" xr6:coauthVersionMax="47" xr10:uidLastSave="{F063576D-25C5-4C05-8A0D-47DCB7D378B4}"/>
  <bookViews>
    <workbookView xWindow="28680" yWindow="-120" windowWidth="29040" windowHeight="15720" activeTab="1" xr2:uid="{510FD49B-76B6-47FB-9915-215790234389}"/>
  </bookViews>
  <sheets>
    <sheet name="Täyttökahva" sheetId="2" r:id="rId1"/>
    <sheet name="kaavio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2" l="1"/>
  <c r="F5" i="2" s="1"/>
  <c r="E6" i="2"/>
  <c r="F6" i="2" s="1"/>
  <c r="E7" i="2"/>
  <c r="F7" i="2" s="1"/>
  <c r="E8" i="2"/>
  <c r="F8" i="2"/>
  <c r="G8" i="2"/>
  <c r="E9" i="2"/>
  <c r="F9" i="2"/>
  <c r="G9" i="2" s="1"/>
  <c r="E10" i="2"/>
  <c r="F10" i="2"/>
  <c r="G10" i="2"/>
  <c r="E11" i="2"/>
  <c r="F11" i="2"/>
  <c r="G11" i="2"/>
  <c r="E12" i="2"/>
  <c r="F12" i="2"/>
  <c r="G12" i="2"/>
  <c r="E13" i="2"/>
  <c r="F13" i="2"/>
  <c r="G13" i="2"/>
  <c r="F4" i="2"/>
  <c r="G4" i="2" s="1"/>
  <c r="E4" i="2"/>
  <c r="G7" i="2" l="1"/>
  <c r="G6" i="2"/>
  <c r="G5" i="2"/>
  <c r="G14" i="2" s="1"/>
  <c r="F14" i="2"/>
  <c r="E14" i="2"/>
</calcChain>
</file>

<file path=xl/sharedStrings.xml><?xml version="1.0" encoding="utf-8"?>
<sst xmlns="http://schemas.openxmlformats.org/spreadsheetml/2006/main" count="45" uniqueCount="45">
  <si>
    <t>tuote</t>
  </si>
  <si>
    <t>yksikköhinta</t>
  </si>
  <si>
    <t>määrä</t>
  </si>
  <si>
    <t>vero</t>
  </si>
  <si>
    <t>yhteensä</t>
  </si>
  <si>
    <t>veroton yht.</t>
  </si>
  <si>
    <t>alv.</t>
  </si>
  <si>
    <t>Toimistotuoli</t>
  </si>
  <si>
    <t>Kannettavan telakka</t>
  </si>
  <si>
    <t>Näppäimistö</t>
  </si>
  <si>
    <t>Langaton hiiri</t>
  </si>
  <si>
    <t>24" näyttö</t>
  </si>
  <si>
    <t>USB-C -laturi</t>
  </si>
  <si>
    <t>Reppu (työläppärille)</t>
  </si>
  <si>
    <t>Kuulokkeet</t>
  </si>
  <si>
    <t>Muistitikku 64 GB</t>
  </si>
  <si>
    <t>Videoneuvottelukamera</t>
  </si>
  <si>
    <t>Kuukausi</t>
  </si>
  <si>
    <t>Tammi</t>
  </si>
  <si>
    <t>Helmi</t>
  </si>
  <si>
    <t>Maalis</t>
  </si>
  <si>
    <t>Huhti</t>
  </si>
  <si>
    <t>Touko</t>
  </si>
  <si>
    <t>Kesä</t>
  </si>
  <si>
    <t>Heinä</t>
  </si>
  <si>
    <t>Elo</t>
  </si>
  <si>
    <t>Syys</t>
  </si>
  <si>
    <t>Loka</t>
  </si>
  <si>
    <t>Marras</t>
  </si>
  <si>
    <t>Joulu</t>
  </si>
  <si>
    <t>Myynti kuukausittain</t>
  </si>
  <si>
    <t>Kuluerä</t>
  </si>
  <si>
    <t>Palkat</t>
  </si>
  <si>
    <t>Vuokra</t>
  </si>
  <si>
    <t>Markkinointi</t>
  </si>
  <si>
    <t>IT</t>
  </si>
  <si>
    <t>Muut</t>
  </si>
  <si>
    <t>Kulujen jakautuminen</t>
  </si>
  <si>
    <t>Tuoteryhmä</t>
  </si>
  <si>
    <t>Liiketoiminnan oppikirjat</t>
  </si>
  <si>
    <t>Verkkokurssit ja lisenssit</t>
  </si>
  <si>
    <t>Toimisto- ja koulutarvikkeet</t>
  </si>
  <si>
    <t>Digitaaliset palvelupaketit</t>
  </si>
  <si>
    <t>Konsultointi ja koulutuspalvelut</t>
  </si>
  <si>
    <t>Myynti tuoteryhmittäin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</si>
</sst>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0" fontId="0" fillId="0" borderId="0" xfId="0" applyNumberFormat="1"/>
    <xf numFmtId="0" fontId="0" fillId="0" borderId="0" xfId="0" applyAlignment="1">
      <alignment horizontal="right"/>
    </xf>
    <xf numFmtId="44" fontId="0" fillId="0" borderId="0" xfId="1" applyFont="1"/>
    <xf numFmtId="0" fontId="0" fillId="0" borderId="1" xfId="0" applyBorder="1"/>
    <xf numFmtId="44" fontId="0" fillId="0" borderId="1" xfId="0" applyNumberFormat="1" applyBorder="1"/>
    <xf numFmtId="0" fontId="0" fillId="2" borderId="1" xfId="0" applyFill="1" applyBorder="1"/>
    <xf numFmtId="44" fontId="0" fillId="0" borderId="0" xfId="1" applyFont="1" applyBorder="1"/>
    <xf numFmtId="0" fontId="0" fillId="0" borderId="0" xfId="0" applyBorder="1"/>
    <xf numFmtId="0" fontId="0" fillId="2" borderId="1" xfId="0" applyFill="1" applyBorder="1" applyAlignment="1">
      <alignment horizontal="center"/>
    </xf>
  </cellXfs>
  <cellStyles count="2">
    <cellStyle name="Normaali" xfId="0" builtinId="0"/>
    <cellStyle name="Valuut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kaaviot!$B$1</c:f>
              <c:strCache>
                <c:ptCount val="1"/>
                <c:pt idx="0">
                  <c:v>Myynti kuukausittain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kaaviot!$A$2:$A$13</c:f>
              <c:strCache>
                <c:ptCount val="12"/>
                <c:pt idx="0">
                  <c:v>Tammi</c:v>
                </c:pt>
                <c:pt idx="1">
                  <c:v>Helmi</c:v>
                </c:pt>
                <c:pt idx="2">
                  <c:v>Maalis</c:v>
                </c:pt>
                <c:pt idx="3">
                  <c:v>Huhti</c:v>
                </c:pt>
                <c:pt idx="4">
                  <c:v>Touko</c:v>
                </c:pt>
                <c:pt idx="5">
                  <c:v>Kesä</c:v>
                </c:pt>
                <c:pt idx="6">
                  <c:v>Heinä</c:v>
                </c:pt>
                <c:pt idx="7">
                  <c:v>Elo</c:v>
                </c:pt>
                <c:pt idx="8">
                  <c:v>Syys</c:v>
                </c:pt>
                <c:pt idx="9">
                  <c:v>Loka</c:v>
                </c:pt>
                <c:pt idx="10">
                  <c:v>Marras</c:v>
                </c:pt>
                <c:pt idx="11">
                  <c:v>Joulu</c:v>
                </c:pt>
              </c:strCache>
            </c:strRef>
          </c:cat>
          <c:val>
            <c:numRef>
              <c:f>kaaviot!$B$2:$B$13</c:f>
              <c:numCache>
                <c:formatCode>General</c:formatCode>
                <c:ptCount val="12"/>
                <c:pt idx="0">
                  <c:v>12000</c:v>
                </c:pt>
                <c:pt idx="1">
                  <c:v>13500</c:v>
                </c:pt>
                <c:pt idx="2">
                  <c:v>12800</c:v>
                </c:pt>
                <c:pt idx="3">
                  <c:v>15000</c:v>
                </c:pt>
                <c:pt idx="4">
                  <c:v>16200</c:v>
                </c:pt>
                <c:pt idx="5">
                  <c:v>17000</c:v>
                </c:pt>
                <c:pt idx="6">
                  <c:v>16500</c:v>
                </c:pt>
                <c:pt idx="7">
                  <c:v>18000</c:v>
                </c:pt>
                <c:pt idx="8">
                  <c:v>17500</c:v>
                </c:pt>
                <c:pt idx="9">
                  <c:v>19000</c:v>
                </c:pt>
                <c:pt idx="10">
                  <c:v>21000</c:v>
                </c:pt>
                <c:pt idx="11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7-4A37-94A9-AE3872314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35"/>
        <c:axId val="1368061792"/>
        <c:axId val="1368058432"/>
      </c:barChart>
      <c:catAx>
        <c:axId val="136806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368058432"/>
        <c:crosses val="autoZero"/>
        <c:auto val="1"/>
        <c:lblAlgn val="ctr"/>
        <c:lblOffset val="100"/>
        <c:noMultiLvlLbl val="0"/>
      </c:catAx>
      <c:valAx>
        <c:axId val="136805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/>
                  <a:t>Myynti (€)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36806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kaaviot!$B$1</c:f>
              <c:strCache>
                <c:ptCount val="1"/>
                <c:pt idx="0">
                  <c:v>Myynti kuukausittain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kaaviot!$A$2:$A$13</c:f>
              <c:strCache>
                <c:ptCount val="12"/>
                <c:pt idx="0">
                  <c:v>Tammi</c:v>
                </c:pt>
                <c:pt idx="1">
                  <c:v>Helmi</c:v>
                </c:pt>
                <c:pt idx="2">
                  <c:v>Maalis</c:v>
                </c:pt>
                <c:pt idx="3">
                  <c:v>Huhti</c:v>
                </c:pt>
                <c:pt idx="4">
                  <c:v>Touko</c:v>
                </c:pt>
                <c:pt idx="5">
                  <c:v>Kesä</c:v>
                </c:pt>
                <c:pt idx="6">
                  <c:v>Heinä</c:v>
                </c:pt>
                <c:pt idx="7">
                  <c:v>Elo</c:v>
                </c:pt>
                <c:pt idx="8">
                  <c:v>Syys</c:v>
                </c:pt>
                <c:pt idx="9">
                  <c:v>Loka</c:v>
                </c:pt>
                <c:pt idx="10">
                  <c:v>Marras</c:v>
                </c:pt>
                <c:pt idx="11">
                  <c:v>Joulu</c:v>
                </c:pt>
              </c:strCache>
            </c:strRef>
          </c:cat>
          <c:val>
            <c:numRef>
              <c:f>kaaviot!$B$2:$B$13</c:f>
              <c:numCache>
                <c:formatCode>General</c:formatCode>
                <c:ptCount val="12"/>
                <c:pt idx="0">
                  <c:v>12000</c:v>
                </c:pt>
                <c:pt idx="1">
                  <c:v>13500</c:v>
                </c:pt>
                <c:pt idx="2">
                  <c:v>12800</c:v>
                </c:pt>
                <c:pt idx="3">
                  <c:v>15000</c:v>
                </c:pt>
                <c:pt idx="4">
                  <c:v>16200</c:v>
                </c:pt>
                <c:pt idx="5">
                  <c:v>17000</c:v>
                </c:pt>
                <c:pt idx="6">
                  <c:v>16500</c:v>
                </c:pt>
                <c:pt idx="7">
                  <c:v>18000</c:v>
                </c:pt>
                <c:pt idx="8">
                  <c:v>17500</c:v>
                </c:pt>
                <c:pt idx="9">
                  <c:v>19000</c:v>
                </c:pt>
                <c:pt idx="10">
                  <c:v>21000</c:v>
                </c:pt>
                <c:pt idx="11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3F-4C7B-8E95-E5AA9150B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8061792"/>
        <c:axId val="1368058432"/>
      </c:lineChart>
      <c:catAx>
        <c:axId val="136806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368058432"/>
        <c:crosses val="autoZero"/>
        <c:auto val="1"/>
        <c:lblAlgn val="ctr"/>
        <c:lblOffset val="100"/>
        <c:noMultiLvlLbl val="0"/>
      </c:catAx>
      <c:valAx>
        <c:axId val="136805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/>
                  <a:t>Myynti (€)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36806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6441812006315223"/>
          <c:y val="2.03562286586848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kaaviot!$B$16</c:f>
              <c:strCache>
                <c:ptCount val="1"/>
                <c:pt idx="0">
                  <c:v>Kulujen jakautuminen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FE1-45F9-8620-62EEE9B3D0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FE1-45F9-8620-62EEE9B3D0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FE1-45F9-8620-62EEE9B3D0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FE1-45F9-8620-62EEE9B3D0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FE1-45F9-8620-62EEE9B3D0D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i-F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2FE1-45F9-8620-62EEE9B3D0D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i-F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FE1-45F9-8620-62EEE9B3D0D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i-F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119265128582791"/>
                      <c:h val="0.2688042665800413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2FE1-45F9-8620-62EEE9B3D0D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i-F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2FE1-45F9-8620-62EEE9B3D0D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i-F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2FE1-45F9-8620-62EEE9B3D0D5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kaaviot!$A$17:$A$21</c:f>
              <c:strCache>
                <c:ptCount val="5"/>
                <c:pt idx="0">
                  <c:v>Palkat</c:v>
                </c:pt>
                <c:pt idx="1">
                  <c:v>Vuokra</c:v>
                </c:pt>
                <c:pt idx="2">
                  <c:v>Markkinointi</c:v>
                </c:pt>
                <c:pt idx="3">
                  <c:v>IT</c:v>
                </c:pt>
                <c:pt idx="4">
                  <c:v>Muut</c:v>
                </c:pt>
              </c:strCache>
            </c:strRef>
          </c:cat>
          <c:val>
            <c:numRef>
              <c:f>kaaviot!$B$17:$B$21</c:f>
              <c:numCache>
                <c:formatCode>General</c:formatCode>
                <c:ptCount val="5"/>
                <c:pt idx="0">
                  <c:v>45000</c:v>
                </c:pt>
                <c:pt idx="1">
                  <c:v>12000</c:v>
                </c:pt>
                <c:pt idx="2">
                  <c:v>8000</c:v>
                </c:pt>
                <c:pt idx="3">
                  <c:v>6000</c:v>
                </c:pt>
                <c:pt idx="4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1-45F9-8620-62EEE9B3D0D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4460708782742682"/>
          <c:y val="2.66001592867806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>
        <c:manualLayout>
          <c:layoutTarget val="inner"/>
          <c:xMode val="edge"/>
          <c:yMode val="edge"/>
          <c:x val="0.4914717361658994"/>
          <c:y val="0.16019945930463625"/>
          <c:w val="0.43636653378127727"/>
          <c:h val="0.6048991419354129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kaaviot!$B$26</c:f>
              <c:strCache>
                <c:ptCount val="1"/>
                <c:pt idx="0">
                  <c:v>Myynti tuoteryhmittäin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kaaviot!$A$27:$A$31</c:f>
              <c:strCache>
                <c:ptCount val="5"/>
                <c:pt idx="0">
                  <c:v>Liiketoiminnan oppikirjat</c:v>
                </c:pt>
                <c:pt idx="1">
                  <c:v>Verkkokurssit ja lisenssit</c:v>
                </c:pt>
                <c:pt idx="2">
                  <c:v>Toimisto- ja koulutarvikkeet</c:v>
                </c:pt>
                <c:pt idx="3">
                  <c:v>Digitaaliset palvelupaketit</c:v>
                </c:pt>
                <c:pt idx="4">
                  <c:v>Konsultointi ja koulutuspalvelut</c:v>
                </c:pt>
              </c:strCache>
            </c:strRef>
          </c:cat>
          <c:val>
            <c:numRef>
              <c:f>kaaviot!$B$27:$B$31</c:f>
              <c:numCache>
                <c:formatCode>General</c:formatCode>
                <c:ptCount val="5"/>
                <c:pt idx="0">
                  <c:v>15000</c:v>
                </c:pt>
                <c:pt idx="1">
                  <c:v>22000</c:v>
                </c:pt>
                <c:pt idx="2">
                  <c:v>9000</c:v>
                </c:pt>
                <c:pt idx="3">
                  <c:v>18000</c:v>
                </c:pt>
                <c:pt idx="4">
                  <c:v>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64-421B-B41D-2ECD06C41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04153680"/>
        <c:axId val="1504148400"/>
      </c:barChart>
      <c:catAx>
        <c:axId val="1504153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04148400"/>
        <c:crosses val="autoZero"/>
        <c:auto val="1"/>
        <c:lblAlgn val="ctr"/>
        <c:lblOffset val="100"/>
        <c:noMultiLvlLbl val="0"/>
      </c:catAx>
      <c:valAx>
        <c:axId val="15041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/>
                  <a:t>Myynti (€)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0415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128587</xdr:rowOff>
    </xdr:from>
    <xdr:to>
      <xdr:col>9</xdr:col>
      <xdr:colOff>180975</xdr:colOff>
      <xdr:row>10</xdr:row>
      <xdr:rowOff>38101</xdr:rowOff>
    </xdr:to>
    <xdr:graphicFrame macro="">
      <xdr:nvGraphicFramePr>
        <xdr:cNvPr id="2" name="Kaavio 1">
          <a:extLst>
            <a:ext uri="{FF2B5EF4-FFF2-40B4-BE49-F238E27FC236}">
              <a16:creationId xmlns:a16="http://schemas.microsoft.com/office/drawing/2014/main" id="{6F1D3A82-E7CD-414C-EA6F-B83250FE6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114301</xdr:colOff>
      <xdr:row>0</xdr:row>
      <xdr:rowOff>66676</xdr:rowOff>
    </xdr:from>
    <xdr:to>
      <xdr:col>15</xdr:col>
      <xdr:colOff>123825</xdr:colOff>
      <xdr:row>10</xdr:row>
      <xdr:rowOff>57150</xdr:rowOff>
    </xdr:to>
    <xdr:graphicFrame macro="">
      <xdr:nvGraphicFramePr>
        <xdr:cNvPr id="3" name="Kaavio 2">
          <a:extLst>
            <a:ext uri="{FF2B5EF4-FFF2-40B4-BE49-F238E27FC236}">
              <a16:creationId xmlns:a16="http://schemas.microsoft.com/office/drawing/2014/main" id="{BD6BF124-B998-48D3-9BDD-47D876C8B9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533401</xdr:colOff>
      <xdr:row>13</xdr:row>
      <xdr:rowOff>42862</xdr:rowOff>
    </xdr:from>
    <xdr:to>
      <xdr:col>8</xdr:col>
      <xdr:colOff>504825</xdr:colOff>
      <xdr:row>23</xdr:row>
      <xdr:rowOff>0</xdr:rowOff>
    </xdr:to>
    <xdr:graphicFrame macro="">
      <xdr:nvGraphicFramePr>
        <xdr:cNvPr id="4" name="Kaavio 3">
          <a:extLst>
            <a:ext uri="{FF2B5EF4-FFF2-40B4-BE49-F238E27FC236}">
              <a16:creationId xmlns:a16="http://schemas.microsoft.com/office/drawing/2014/main" id="{7DBB5B65-87AA-7F70-4E3A-A536169AD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414337</xdr:colOff>
      <xdr:row>24</xdr:row>
      <xdr:rowOff>33337</xdr:rowOff>
    </xdr:from>
    <xdr:to>
      <xdr:col>8</xdr:col>
      <xdr:colOff>542924</xdr:colOff>
      <xdr:row>34</xdr:row>
      <xdr:rowOff>9524</xdr:rowOff>
    </xdr:to>
    <xdr:graphicFrame macro="">
      <xdr:nvGraphicFramePr>
        <xdr:cNvPr id="5" name="Kaavio 4">
          <a:extLst>
            <a:ext uri="{FF2B5EF4-FFF2-40B4-BE49-F238E27FC236}">
              <a16:creationId xmlns:a16="http://schemas.microsoft.com/office/drawing/2014/main" id="{A91D2E16-F076-0673-5F50-E775AA1059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63A7-0F19-4080-824D-58B071B539D1}">
  <dimension ref="B1:G14"/>
  <sheetViews>
    <sheetView workbookViewId="0">
      <selection activeCell="N11" sqref="N11:N25"/>
    </sheetView>
  </sheetViews>
  <sheetFormatPr defaultRowHeight="15" x14ac:dyDescent="0.25"/>
  <cols>
    <col min="1" max="1" width="4.140625" customWidth="1"/>
    <col min="2" max="2" width="22.28515625" bestFit="1" customWidth="1"/>
    <col min="3" max="3" width="12.140625" bestFit="1" customWidth="1"/>
    <col min="4" max="4" width="6.85546875" bestFit="1" customWidth="1"/>
    <col min="5" max="7" width="13.140625" customWidth="1"/>
  </cols>
  <sheetData>
    <row r="1" spans="2:7" x14ac:dyDescent="0.25">
      <c r="E1" s="2" t="s">
        <v>6</v>
      </c>
      <c r="F1" s="1">
        <v>0.255</v>
      </c>
    </row>
    <row r="3" spans="2:7" x14ac:dyDescent="0.25">
      <c r="B3" s="6" t="s">
        <v>0</v>
      </c>
      <c r="C3" s="9" t="s">
        <v>1</v>
      </c>
      <c r="D3" s="9" t="s">
        <v>2</v>
      </c>
      <c r="E3" s="9" t="s">
        <v>5</v>
      </c>
      <c r="F3" s="9" t="s">
        <v>3</v>
      </c>
      <c r="G3" s="9" t="s">
        <v>4</v>
      </c>
    </row>
    <row r="4" spans="2:7" x14ac:dyDescent="0.25">
      <c r="B4" s="8" t="s">
        <v>7</v>
      </c>
      <c r="C4" s="7">
        <v>189</v>
      </c>
      <c r="D4" s="8">
        <v>8</v>
      </c>
      <c r="E4" s="7">
        <f>C4*D4</f>
        <v>1512</v>
      </c>
      <c r="F4" s="7">
        <f>E4*$F$1</f>
        <v>385.56</v>
      </c>
      <c r="G4" s="7">
        <f>E4+F4</f>
        <v>1897.56</v>
      </c>
    </row>
    <row r="5" spans="2:7" x14ac:dyDescent="0.25">
      <c r="B5" t="s">
        <v>8</v>
      </c>
      <c r="C5" s="3">
        <v>129</v>
      </c>
      <c r="D5">
        <v>5</v>
      </c>
      <c r="E5" s="7">
        <f t="shared" ref="E5:E13" si="0">C5*D5</f>
        <v>645</v>
      </c>
      <c r="F5" s="7">
        <f t="shared" ref="F5:F13" si="1">E5*$F$1</f>
        <v>164.47499999999999</v>
      </c>
      <c r="G5" s="7">
        <f t="shared" ref="G5:G13" si="2">E5+F5</f>
        <v>809.47500000000002</v>
      </c>
    </row>
    <row r="6" spans="2:7" x14ac:dyDescent="0.25">
      <c r="B6" t="s">
        <v>9</v>
      </c>
      <c r="C6" s="3">
        <v>39.9</v>
      </c>
      <c r="D6">
        <v>12</v>
      </c>
      <c r="E6" s="7">
        <f t="shared" si="0"/>
        <v>478.79999999999995</v>
      </c>
      <c r="F6" s="7">
        <f t="shared" si="1"/>
        <v>122.09399999999999</v>
      </c>
      <c r="G6" s="7">
        <f t="shared" si="2"/>
        <v>600.89400000000001</v>
      </c>
    </row>
    <row r="7" spans="2:7" x14ac:dyDescent="0.25">
      <c r="B7" t="s">
        <v>10</v>
      </c>
      <c r="C7" s="3">
        <v>24.5</v>
      </c>
      <c r="D7">
        <v>15</v>
      </c>
      <c r="E7" s="7">
        <f t="shared" si="0"/>
        <v>367.5</v>
      </c>
      <c r="F7" s="7">
        <f t="shared" si="1"/>
        <v>93.712500000000006</v>
      </c>
      <c r="G7" s="7">
        <f t="shared" si="2"/>
        <v>461.21249999999998</v>
      </c>
    </row>
    <row r="8" spans="2:7" x14ac:dyDescent="0.25">
      <c r="B8" t="s">
        <v>11</v>
      </c>
      <c r="C8" s="3">
        <v>179</v>
      </c>
      <c r="D8">
        <v>6</v>
      </c>
      <c r="E8" s="7">
        <f t="shared" si="0"/>
        <v>1074</v>
      </c>
      <c r="F8" s="7">
        <f t="shared" si="1"/>
        <v>273.87</v>
      </c>
      <c r="G8" s="7">
        <f t="shared" si="2"/>
        <v>1347.87</v>
      </c>
    </row>
    <row r="9" spans="2:7" x14ac:dyDescent="0.25">
      <c r="B9" t="s">
        <v>12</v>
      </c>
      <c r="C9" s="3">
        <v>29.9</v>
      </c>
      <c r="D9">
        <v>10</v>
      </c>
      <c r="E9" s="7">
        <f t="shared" si="0"/>
        <v>299</v>
      </c>
      <c r="F9" s="7">
        <f t="shared" si="1"/>
        <v>76.245000000000005</v>
      </c>
      <c r="G9" s="7">
        <f t="shared" si="2"/>
        <v>375.245</v>
      </c>
    </row>
    <row r="10" spans="2:7" x14ac:dyDescent="0.25">
      <c r="B10" t="s">
        <v>13</v>
      </c>
      <c r="C10" s="3">
        <v>59</v>
      </c>
      <c r="D10">
        <v>7</v>
      </c>
      <c r="E10" s="7">
        <f t="shared" si="0"/>
        <v>413</v>
      </c>
      <c r="F10" s="7">
        <f t="shared" si="1"/>
        <v>105.315</v>
      </c>
      <c r="G10" s="7">
        <f t="shared" si="2"/>
        <v>518.31500000000005</v>
      </c>
    </row>
    <row r="11" spans="2:7" x14ac:dyDescent="0.25">
      <c r="B11" t="s">
        <v>14</v>
      </c>
      <c r="C11" s="3">
        <v>89</v>
      </c>
      <c r="D11">
        <v>9</v>
      </c>
      <c r="E11" s="7">
        <f t="shared" si="0"/>
        <v>801</v>
      </c>
      <c r="F11" s="7">
        <f t="shared" si="1"/>
        <v>204.255</v>
      </c>
      <c r="G11" s="7">
        <f t="shared" si="2"/>
        <v>1005.255</v>
      </c>
    </row>
    <row r="12" spans="2:7" x14ac:dyDescent="0.25">
      <c r="B12" t="s">
        <v>15</v>
      </c>
      <c r="C12" s="3">
        <v>14.9</v>
      </c>
      <c r="D12">
        <v>20</v>
      </c>
      <c r="E12" s="7">
        <f t="shared" si="0"/>
        <v>298</v>
      </c>
      <c r="F12" s="7">
        <f t="shared" si="1"/>
        <v>75.989999999999995</v>
      </c>
      <c r="G12" s="7">
        <f t="shared" si="2"/>
        <v>373.99</v>
      </c>
    </row>
    <row r="13" spans="2:7" x14ac:dyDescent="0.25">
      <c r="B13" t="s">
        <v>16</v>
      </c>
      <c r="C13" s="3">
        <v>149</v>
      </c>
      <c r="D13">
        <v>3</v>
      </c>
      <c r="E13" s="7">
        <f t="shared" si="0"/>
        <v>447</v>
      </c>
      <c r="F13" s="7">
        <f t="shared" si="1"/>
        <v>113.985</v>
      </c>
      <c r="G13" s="7">
        <f t="shared" si="2"/>
        <v>560.98500000000001</v>
      </c>
    </row>
    <row r="14" spans="2:7" x14ac:dyDescent="0.25">
      <c r="B14" s="4"/>
      <c r="C14" s="4"/>
      <c r="D14" s="4"/>
      <c r="E14" s="5">
        <f t="shared" ref="E14:F14" si="3">SUM(E4:E13)</f>
        <v>6335.3</v>
      </c>
      <c r="F14" s="5">
        <f t="shared" si="3"/>
        <v>1615.5014999999999</v>
      </c>
      <c r="G14" s="5">
        <f>SUM(G4:G13)</f>
        <v>7950.8014999999996</v>
      </c>
    </row>
  </sheetData>
  <sheetProtection formatCell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E4BEA-029A-44C7-A294-DD33D92F3694}">
  <dimension ref="A1:B31"/>
  <sheetViews>
    <sheetView tabSelected="1" workbookViewId="0">
      <selection activeCell="N21" sqref="N21"/>
    </sheetView>
  </sheetViews>
  <sheetFormatPr defaultRowHeight="15" x14ac:dyDescent="0.25"/>
  <sheetData>
    <row r="1" spans="1:2" x14ac:dyDescent="0.25">
      <c r="A1" t="s">
        <v>17</v>
      </c>
      <c r="B1" t="s">
        <v>30</v>
      </c>
    </row>
    <row r="2" spans="1:2" x14ac:dyDescent="0.25">
      <c r="A2" t="s">
        <v>18</v>
      </c>
      <c r="B2">
        <v>12000</v>
      </c>
    </row>
    <row r="3" spans="1:2" x14ac:dyDescent="0.25">
      <c r="A3" t="s">
        <v>19</v>
      </c>
      <c r="B3">
        <v>13500</v>
      </c>
    </row>
    <row r="4" spans="1:2" x14ac:dyDescent="0.25">
      <c r="A4" t="s">
        <v>20</v>
      </c>
      <c r="B4">
        <v>12800</v>
      </c>
    </row>
    <row r="5" spans="1:2" x14ac:dyDescent="0.25">
      <c r="A5" t="s">
        <v>21</v>
      </c>
      <c r="B5">
        <v>15000</v>
      </c>
    </row>
    <row r="6" spans="1:2" x14ac:dyDescent="0.25">
      <c r="A6" t="s">
        <v>22</v>
      </c>
      <c r="B6">
        <v>16200</v>
      </c>
    </row>
    <row r="7" spans="1:2" x14ac:dyDescent="0.25">
      <c r="A7" t="s">
        <v>23</v>
      </c>
      <c r="B7">
        <v>17000</v>
      </c>
    </row>
    <row r="8" spans="1:2" x14ac:dyDescent="0.25">
      <c r="A8" t="s">
        <v>24</v>
      </c>
      <c r="B8">
        <v>16500</v>
      </c>
    </row>
    <row r="9" spans="1:2" x14ac:dyDescent="0.25">
      <c r="A9" t="s">
        <v>25</v>
      </c>
      <c r="B9">
        <v>18000</v>
      </c>
    </row>
    <row r="10" spans="1:2" x14ac:dyDescent="0.25">
      <c r="A10" t="s">
        <v>26</v>
      </c>
      <c r="B10">
        <v>17500</v>
      </c>
    </row>
    <row r="11" spans="1:2" x14ac:dyDescent="0.25">
      <c r="A11" t="s">
        <v>27</v>
      </c>
      <c r="B11">
        <v>19000</v>
      </c>
    </row>
    <row r="12" spans="1:2" x14ac:dyDescent="0.25">
      <c r="A12" t="s">
        <v>28</v>
      </c>
      <c r="B12">
        <v>21000</v>
      </c>
    </row>
    <row r="13" spans="1:2" x14ac:dyDescent="0.25">
      <c r="A13" t="s">
        <v>29</v>
      </c>
      <c r="B13">
        <v>25000</v>
      </c>
    </row>
    <row r="16" spans="1:2" x14ac:dyDescent="0.25">
      <c r="A16" t="s">
        <v>31</v>
      </c>
      <c r="B16" t="s">
        <v>37</v>
      </c>
    </row>
    <row r="17" spans="1:2" x14ac:dyDescent="0.25">
      <c r="A17" t="s">
        <v>32</v>
      </c>
      <c r="B17">
        <v>45000</v>
      </c>
    </row>
    <row r="18" spans="1:2" x14ac:dyDescent="0.25">
      <c r="A18" t="s">
        <v>33</v>
      </c>
      <c r="B18">
        <v>12000</v>
      </c>
    </row>
    <row r="19" spans="1:2" x14ac:dyDescent="0.25">
      <c r="A19" t="s">
        <v>34</v>
      </c>
      <c r="B19">
        <v>8000</v>
      </c>
    </row>
    <row r="20" spans="1:2" x14ac:dyDescent="0.25">
      <c r="A20" t="s">
        <v>35</v>
      </c>
      <c r="B20">
        <v>6000</v>
      </c>
    </row>
    <row r="21" spans="1:2" x14ac:dyDescent="0.25">
      <c r="A21" t="s">
        <v>36</v>
      </c>
      <c r="B21">
        <v>4000</v>
      </c>
    </row>
    <row r="26" spans="1:2" x14ac:dyDescent="0.25">
      <c r="A26" t="s">
        <v>38</v>
      </c>
      <c r="B26" t="s">
        <v>44</v>
      </c>
    </row>
    <row r="27" spans="1:2" x14ac:dyDescent="0.25">
      <c r="A27" t="s">
        <v>39</v>
      </c>
      <c r="B27">
        <v>15000</v>
      </c>
    </row>
    <row r="28" spans="1:2" x14ac:dyDescent="0.25">
      <c r="A28" t="s">
        <v>40</v>
      </c>
      <c r="B28">
        <v>22000</v>
      </c>
    </row>
    <row r="29" spans="1:2" x14ac:dyDescent="0.25">
      <c r="A29" t="s">
        <v>41</v>
      </c>
      <c r="B29">
        <v>9000</v>
      </c>
    </row>
    <row r="30" spans="1:2" x14ac:dyDescent="0.25">
      <c r="A30" t="s">
        <v>42</v>
      </c>
      <c r="B30">
        <v>18000</v>
      </c>
    </row>
    <row r="31" spans="1:2" x14ac:dyDescent="0.25">
      <c r="A31" t="s">
        <v>43</v>
      </c>
      <c r="B31">
        <v>26000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2</vt:i4>
      </vt:variant>
    </vt:vector>
  </HeadingPairs>
  <TitlesOfParts>
    <vt:vector size="2" baseType="lpstr">
      <vt:lpstr>Täyttökahva</vt:lpstr>
      <vt:lpstr>kaaviot</vt:lpstr>
    </vt:vector>
  </TitlesOfParts>
  <Company>Mercuria kauppaoppilaitos Oy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Köngäs Hannu</dc:creator>
  <cp:lastModifiedBy>Köngäs Hannu</cp:lastModifiedBy>
  <dcterms:created xsi:type="dcterms:W3CDTF">2026-05-12T06:35:17Z</dcterms:created>
  <dcterms:modified xsi:type="dcterms:W3CDTF">2026-05-12T08:37:32Z</dcterms:modified>
</cp:coreProperties>
</file>