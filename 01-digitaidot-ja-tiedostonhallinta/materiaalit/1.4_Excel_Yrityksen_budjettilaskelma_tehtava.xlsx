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ytkonen_tomi\Downloads\"/>
    </mc:Choice>
  </mc:AlternateContent>
  <xr:revisionPtr revIDLastSave="0" documentId="13_ncr:1_{00738760-88B8-4077-818A-4538B56ACE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hjeet" sheetId="1" r:id="rId1"/>
    <sheet name="Lähtötiedot" sheetId="2" r:id="rId2"/>
    <sheet name="Kulut" sheetId="3" r:id="rId3"/>
    <sheet name="Laskelmat" sheetId="4" r:id="rId4"/>
    <sheet name="Yhteenveto" sheetId="5" r:id="rId5"/>
    <sheet name="Tarkistu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" i="4" l="1"/>
  <c r="AC12" i="4"/>
  <c r="Z11" i="4"/>
  <c r="C34" i="5"/>
  <c r="C33" i="5"/>
  <c r="C32" i="5"/>
  <c r="Y19" i="5"/>
  <c r="X19" i="5"/>
  <c r="Y18" i="5"/>
  <c r="X18" i="5"/>
  <c r="Y17" i="5"/>
  <c r="X17" i="5"/>
  <c r="Y16" i="5"/>
  <c r="X16" i="5"/>
  <c r="Y15" i="5"/>
  <c r="X15" i="5"/>
  <c r="Y14" i="5"/>
  <c r="X14" i="5"/>
  <c r="K8" i="5"/>
  <c r="H8" i="5"/>
  <c r="C35" i="5" s="1"/>
  <c r="E8" i="5"/>
  <c r="B8" i="5"/>
  <c r="K4" i="5"/>
  <c r="D4" i="5"/>
  <c r="AB12" i="4"/>
  <c r="AA12" i="4"/>
  <c r="Z12" i="4"/>
  <c r="Y12" i="4"/>
  <c r="X12" i="4"/>
  <c r="B12" i="4"/>
  <c r="B11" i="4"/>
  <c r="AC10" i="4"/>
  <c r="AA10" i="4"/>
  <c r="Z10" i="4"/>
  <c r="Y10" i="4"/>
  <c r="X10" i="4"/>
  <c r="B10" i="4"/>
  <c r="B9" i="4"/>
  <c r="X14" i="3"/>
  <c r="X17" i="4" s="1"/>
  <c r="X13" i="3"/>
  <c r="X12" i="3"/>
  <c r="X11" i="3"/>
  <c r="X10" i="3"/>
  <c r="X9" i="3"/>
  <c r="X8" i="3"/>
  <c r="Y14" i="3" s="1"/>
  <c r="X14" i="2"/>
  <c r="X13" i="2"/>
  <c r="X15" i="2" s="1"/>
  <c r="X12" i="2"/>
  <c r="X11" i="2"/>
  <c r="Y11" i="4" l="1"/>
  <c r="AC11" i="4"/>
  <c r="X9" i="4"/>
  <c r="AC9" i="4"/>
  <c r="Y9" i="4"/>
  <c r="Z9" i="4"/>
  <c r="AB11" i="4"/>
  <c r="AA11" i="4"/>
  <c r="AB9" i="4"/>
  <c r="AA9" i="4"/>
  <c r="AC13" i="4"/>
  <c r="Y13" i="4"/>
  <c r="Z13" i="4"/>
  <c r="X11" i="4"/>
  <c r="X13" i="4" s="1"/>
  <c r="AA13" i="4"/>
  <c r="AB13" i="4"/>
  <c r="X19" i="4" l="1"/>
  <c r="X16" i="4"/>
  <c r="X18" i="4" s="1"/>
  <c r="X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Kirjoita tähän itse keksimäsi kuvitteellisen yrityksen nimi. Toiminto: napsauta solua ja kirjoita teksti.</t>
        </r>
      </text>
    </comment>
    <comment ref="C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Tee tähän itse pudotusvalikko. Valikkopolku: Tiedot &gt; Tietojen tarkistus &gt; Salli: Luettelo &gt; Lähde: =$O$26:$O$28. Valitse sen jälkeen jokin toimiala listasta.</t>
        </r>
      </text>
    </comment>
    <comment ref="E1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Kirjoita kaava =C11*D11. Kopioi kaava alas täyttökahvalla (solun oikea alakulma).</t>
        </r>
      </text>
    </comment>
    <comment ref="E1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Laske myynti yhteensä funktiolla =SUMMA(E11:E14). Toiminto: Kaavat &gt; Autosumma tai kirjoita kaava itse.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D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Laske ensimmäinen osuus kaavalla =C8/$C$14. Käytä absoluuttista viittausta ($), jotta nimittäjä pysyy samana, kun kopioit kaavan alas.</t>
        </r>
      </text>
    </comment>
    <comment ref="C1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Laske kulut yhteensä funktiolla =SUMMA(C8:C13). Valikkopolku: Kaavat &gt; Autosumma.</t>
        </r>
      </text>
    </comment>
    <comment ref="D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Laske prosentit yhteensä funktiolla =SUMMA(D8:D13). Oikea tulos on 100,0 %.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9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Kirjoita kaava =Lähtötiedot!$E$11*Lähtötiedot!H$11. Kiinnitä E11 kokonaan ja kausikertoimissa rivi 11. Kopioi tämän jälkeen oikealle ja alas.</t>
        </r>
      </text>
    </comment>
    <comment ref="C1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Laske tammikuun kuukausisumma funktiolla =SUMMA(C9:C12). Kopioi kaava oikealle kesäkuuhun.</t>
        </r>
      </text>
    </comment>
    <comment ref="C16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Laske liikevaihto yhteensä funktiolla =SUMMA(C13:H13).</t>
        </r>
      </text>
    </comment>
    <comment ref="C1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Laske kulut yhteensä jaksolta kaavalla =Kulut!C14*6.</t>
        </r>
      </text>
    </comment>
    <comment ref="C18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Laske budjetoitu tulos kaavalla =C16-C17.</t>
        </r>
      </text>
    </comment>
    <comment ref="C19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Laske keskimääräinen kuukausimyynti funktiolla =KESKIARVO(C13:H13).</t>
        </r>
      </text>
    </comment>
    <comment ref="C20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Laske liiketulos-% kaavalla =C18/C16. Muotoile solu prosentiksi: Aloitus &gt; Numero &gt; Prosentti.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1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Hae tähän tammikuun kuukausimyynti viittaamalla Laskelmat-välilehden soluun C13. Esimerkki: =Laskelmat!C13</t>
        </r>
      </text>
    </comment>
    <comment ref="F1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Hae tähän vuokran osuus viittaamalla Kulut-välilehden soluun D8. Esimerkki: =Kulut!D8</t>
        </r>
      </text>
    </comment>
  </commentList>
</comments>
</file>

<file path=xl/sharedStrings.xml><?xml version="1.0" encoding="utf-8"?>
<sst xmlns="http://schemas.openxmlformats.org/spreadsheetml/2006/main" count="110" uniqueCount="81">
  <si>
    <t>1.4 Excel: Yrityksen budjettilaskelma</t>
  </si>
  <si>
    <t>Laadi kuvitteelliselle yritykselle yksinkertainen budjetti ja myyntiyhteenveto Excelissä. Tehtävässä harjoitellaan Excelin käyttöä: tiedon kirjoittamista, pudotusvalikon tekemistä, kaavojen kirjoittamista, solujen kiinnittämistä ($), täyttökahvan käyttöä, soluviittauksia, prosentteja sekä yhden viivakaavion ja yhden ympyräkaavion rakentamista valmiiseen yhteenvetonäkymään.</t>
  </si>
  <si>
    <t>Työjärjestys koko tiedostossa</t>
  </si>
  <si>
    <t>1) Lähtötiedot-välilehti: kirjoita yrityksen nimi, tee itse pudotusvalikko Toimiala-soluun ja laske tuotteiden perusmyynti / kk.
2) Kulut-välilehti: laske kulut yhteensä ja kulujen osuusprosentit.
3) Laskelmat-välilehti: laske kuukausimyynti tammikuusta kesäkuuhun. Kopioi kaavat täyttökahvalla oikealle ja alas. Laske kuukausisummat, budjetoitu tulos, keskimääräinen kuukausimyynti ja liiketulos-%.
4) Yhteenveto-välilehti: hae kaavioiden lähtötiedot muilta välilehdiltä soluviittauksilla. Kaaviot päivittyvät automaattisesti.
5) Tarkista lopuksi: keltaiset tehtäväsolut muuttuvat vihreiksi, kun ratkaisu on oikein.</t>
  </si>
  <si>
    <t>Miten tiedät, että olet tehnyt oikein?</t>
  </si>
  <si>
    <t>Tehtävässä on automaattinen tarkistus tärkeimmissä tehtäväsoluissa.
• Vihreä tausta = oikea tulos tai oikea viittaus.
• Punainen tausta = väärä tulos tai väärä viittaus.
• Valkoinen tausta = valmis tieto tai automaattisesti näkyvä tieto.
• Keltainen tausta = tähän opiskelijan pitää tehdä jokin toimenpide.</t>
  </si>
  <si>
    <t>Huomio</t>
  </si>
  <si>
    <t>Tässä tehtävässä ei harjoitella päässälaskua vaan Excelin käyttöä. Siksi jokaisessa vaiheessa tärkeintä on, että käytät ohjeissa mainittua toimintoa oikein: esimerkiksi kaava, SUMMA, KESKIARVO, prosenttilasku, absoluuttinen soluviittaus, täyttökahva tai soluviittaus toiselle välilehdelle.</t>
  </si>
  <si>
    <t>Yrityksen lähtötiedot</t>
  </si>
  <si>
    <t>Perustiedot</t>
  </si>
  <si>
    <t>Yrityksen nimi</t>
  </si>
  <si>
    <t>Toimiala</t>
  </si>
  <si>
    <t>Budjettijakso</t>
  </si>
  <si>
    <t>Tammi–Kesäkuu</t>
  </si>
  <si>
    <t>Tuotteet ja perusmyynti / kk</t>
  </si>
  <si>
    <t>Kausivaihtelu</t>
  </si>
  <si>
    <t>Tuote</t>
  </si>
  <si>
    <t>Määrä / kk</t>
  </si>
  <si>
    <t>Yksikköhinta €</t>
  </si>
  <si>
    <t>Myynti / kk €</t>
  </si>
  <si>
    <t>Kausikerroin</t>
  </si>
  <si>
    <t>Tammikuu</t>
  </si>
  <si>
    <t>Helmikuu</t>
  </si>
  <si>
    <t>Maaliskuu</t>
  </si>
  <si>
    <t>Huhtikuu</t>
  </si>
  <si>
    <t>Toukokuu</t>
  </si>
  <si>
    <t>Kesäkuu</t>
  </si>
  <si>
    <t>Aamupalapaketti</t>
  </si>
  <si>
    <t>Lounassalaatti</t>
  </si>
  <si>
    <t>Kahvi + leivos</t>
  </si>
  <si>
    <t>Catering-paketti</t>
  </si>
  <si>
    <t>Yhteensä</t>
  </si>
  <si>
    <t>Vaihe 1 / Lähtötiedot
1. Kirjoita soluun C5:E5 itse keksimäsi yrityksen nimi.
2. Tee itse pudotusvalikko Toimiala-soluun C6:E6 käyttämällä listaa O26:O28.
   Valikkopolku: Tiedot &gt; Tietojen tarkistus &gt; Salli: Luettelo &gt; Lähde: =$O$26:$O$28
3. Laske soluun E11 kaava =C11*D11.
4. Kopioi kaava täyttökahvalla soluihin E12:E14.
5. Laske soluun E15 tuotteiden myynti yhteensä funktiolla =SUMMA(E11:E14).</t>
  </si>
  <si>
    <t>Mitä tällä välilehdellä harjoitellaan?
• tekstin kirjoittaminen soluun
• tietojen tarkistus / pudotusvalikko
• kertolaskukaava
• täyttökahvan käyttö alaspäin
• SUMMA-funktio
Kun solut E11:E15 ovat oikein, siirry Kulut-välilehdelle.</t>
  </si>
  <si>
    <t>Vaihe 1 / Lähtötiedot</t>
  </si>
  <si>
    <t>Toimialavaihtoehdot pudotusvalikkoa varten:</t>
  </si>
  <si>
    <t>Erikoistumaton elintarvikkeiden, juomien tai tupakan vähittäiskauppa</t>
  </si>
  <si>
    <t>Ruokaravintolat</t>
  </si>
  <si>
    <t>LVI-laitteiden ja -tarvikkeiden tukkukauppa</t>
  </si>
  <si>
    <t>Kulut ja budjetti / kk</t>
  </si>
  <si>
    <t>Vaihe 2 / Kulut
1. Laske soluun C14 kulut yhteensä funktiolla =SUMMA(C8:C13).
2. Laske soluun D8 osuusprosentti kaavalla =C8/$C$14.
3. Kopioi D8 täyttökahvalla alas soluihin D9:D13.
4. Laske soluun D14 prosentit yhteensä funktiolla =SUMMA(D8:D13).</t>
  </si>
  <si>
    <t>Kululuokka</t>
  </si>
  <si>
    <t>Kulu / kk €</t>
  </si>
  <si>
    <t>Osuus %</t>
  </si>
  <si>
    <t>Vuokra</t>
  </si>
  <si>
    <t>Kiinteä kulu</t>
  </si>
  <si>
    <t>Palkat</t>
  </si>
  <si>
    <t>Markkinointi</t>
  </si>
  <si>
    <t>Muuttuva kulu</t>
  </si>
  <si>
    <t>Materiaalit</t>
  </si>
  <si>
    <t>Ohjelmistot</t>
  </si>
  <si>
    <t>Muut kulut</t>
  </si>
  <si>
    <t>Kulut yhteensä / kk</t>
  </si>
  <si>
    <t>-</t>
  </si>
  <si>
    <t>Mitä tällä välilehdellä harjoitellaan?
• SUMMA-funktio
• prosenttilasku
• absoluuttinen soluviittaus $C$14
• täyttökahva alas
Valikkopolut:
• SUMMA: Kaavat &gt; Autosumma
• Prosenttimuotoilu: Aloitus &gt; Numero &gt; Prosentti
Kun solut C14 ja D8:D14 ovat oikein, siirry Laskelmat-välilehdelle.</t>
  </si>
  <si>
    <t>Myynti- ja budjettilaskelmat</t>
  </si>
  <si>
    <t>Vaihe 3 / Laskelmat
1. Laske soluun C9 tammikuun kuukausimyynti kaavalla =Lähtötiedot!$E$11*Lähtötiedot!H$11.
   Tässä käytetään sekä rivin että sarakkeen kiinnitystä, jotta kaava toimii kopioitaessa.
2. Kopioi C9 täyttökahvalla oikealle soluihin D9:H9.
3. Kopioi sen jälkeen koko rivi 9 alas riveille 10–12.
4. Laske kuukausisummat soluihin C13:H13 funktiolla =SUMMA(...).
5. Laske tunnusluvut:
   • C16 Liikevaihto yhteensä = SUMMA(C13:H13)
   • C17 Kulut yhteensä jaksolta = Kulut!C14*6
   • C18 Budjetoitu tulos = C16-C17
   • C19 Keskimääräinen kuukausimyynti = KESKIARVO(C13:H13)
   • C20 Liiketulos-% = C18/C16</t>
  </si>
  <si>
    <t>Mitä tällä välilehdellä harjoitellaan?
• absoluuttinen soluviittaus ($)
• suhteellinen soluviittaus
• täyttökahva oikealle ja alas
• SUMMA-funktio
• KESKIARVO-funktio
• prosenttilasku
Valikkopolut:
• Kaavat &gt; Autosumma
• Kaavat &gt; Lisää funktio &gt; KESKIARVO
• Prosenttimuotoilu: Aloitus &gt; Numero &gt; Prosentti</t>
  </si>
  <si>
    <t>Myynti yhteensä / kk</t>
  </si>
  <si>
    <t>Keskeiset tunnusluvut</t>
  </si>
  <si>
    <t>Liikevaihto yhteensä (€)</t>
  </si>
  <si>
    <t>Kulut yhteensä jaksolta (€)</t>
  </si>
  <si>
    <t>Budjetoitu tulos (€)</t>
  </si>
  <si>
    <t>Keskimääräinen kuukausimyynti (€)</t>
  </si>
  <si>
    <t>Liiketulos-%</t>
  </si>
  <si>
    <t>Kun tämä välilehti on valmis, budjetoitu tulos jää hieman voitolliseksi.
Oikea lopputulos on noin 7 272 euroa.
Kun solut C9:H13 ja C16:C20 ovat oikein, siirry Yhteenveto-välilehdelle.</t>
  </si>
  <si>
    <t>Yhteenveto</t>
  </si>
  <si>
    <t>Yrityksen nimi:</t>
  </si>
  <si>
    <t>Budjettijakso:</t>
  </si>
  <si>
    <t>Liikevaihto yhteensä</t>
  </si>
  <si>
    <t>Kulut yhteensä</t>
  </si>
  <si>
    <t>Budjetoitu tulos</t>
  </si>
  <si>
    <t>Kaavioiden lähtötiedot: kuukausimyynti</t>
  </si>
  <si>
    <t>Kaavioiden lähtötiedot: kulujen jakautuminen</t>
  </si>
  <si>
    <t>Vaihe 4 / Yhteenveto
Tekstimuotoiset tiedot ja tunnusluvut näkyvät jo valmiiksi. Täydennä vain keltaiset kaavioiden lähtötiedot.
1. Hae C14:C19 kuukausimyynnit Laskelmat-välilehden soluista C13:H13.
2. Hae F14:F19 kulujen osuudet Kulut-välilehden soluista D8:D13.
3. Käytä tavallisia soluviittauksia, esimerkiksi =Laskelmat!C13.
Valikkopolku: klikkaa solu &gt; kirjoita = &gt; siirry toiselle välilehdelle &gt; klikkaa lähdesolua &gt; Enter</t>
  </si>
  <si>
    <t>Kuukausi</t>
  </si>
  <si>
    <t>Myynti €</t>
  </si>
  <si>
    <t>Yhteenveto tekstinä</t>
  </si>
  <si>
    <t>Suurin kuukausimyynti</t>
  </si>
  <si>
    <t>Pienin kuukausimyynti</t>
  </si>
  <si>
    <t>Suurin kululuokka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</si>
</sst>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;[Red]\(#,##0.00\ \€\);\-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008000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1F2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/>
    <xf numFmtId="0" fontId="2" fillId="7" borderId="1" xfId="1" applyFont="1" applyFill="1" applyBorder="1" applyAlignment="1">
      <alignment horizontal="center" vertical="center"/>
    </xf>
    <xf numFmtId="0" fontId="4" fillId="4" borderId="1" xfId="1" applyFont="1" applyFill="1" applyBorder="1"/>
    <xf numFmtId="0" fontId="3" fillId="5" borderId="1" xfId="1" applyFont="1" applyFill="1" applyBorder="1"/>
    <xf numFmtId="164" fontId="3" fillId="5" borderId="1" xfId="1" applyNumberFormat="1" applyFont="1" applyFill="1" applyBorder="1"/>
    <xf numFmtId="164" fontId="0" fillId="6" borderId="1" xfId="1" applyNumberFormat="1" applyFont="1" applyFill="1" applyBorder="1"/>
    <xf numFmtId="0" fontId="2" fillId="7" borderId="1" xfId="1" applyFont="1" applyFill="1" applyBorder="1"/>
    <xf numFmtId="165" fontId="3" fillId="5" borderId="1" xfId="1" applyNumberFormat="1" applyFont="1" applyFill="1" applyBorder="1"/>
    <xf numFmtId="0" fontId="0" fillId="7" borderId="1" xfId="1" applyFont="1" applyFill="1" applyBorder="1"/>
    <xf numFmtId="0" fontId="2" fillId="3" borderId="1" xfId="1" applyFont="1" applyFill="1" applyBorder="1"/>
    <xf numFmtId="0" fontId="0" fillId="4" borderId="1" xfId="1" applyFont="1" applyFill="1" applyBorder="1"/>
    <xf numFmtId="0" fontId="0" fillId="0" borderId="1" xfId="1" applyFont="1" applyBorder="1" applyAlignment="1">
      <alignment vertical="top" wrapText="1"/>
    </xf>
    <xf numFmtId="165" fontId="0" fillId="6" borderId="1" xfId="1" applyNumberFormat="1" applyFont="1" applyFill="1" applyBorder="1"/>
    <xf numFmtId="0" fontId="0" fillId="4" borderId="1" xfId="1" applyFont="1" applyFill="1" applyBorder="1" applyAlignment="1">
      <alignment vertical="top" wrapText="1"/>
    </xf>
    <xf numFmtId="0" fontId="0" fillId="0" borderId="2" xfId="1" applyFont="1" applyBorder="1"/>
    <xf numFmtId="0" fontId="0" fillId="0" borderId="4" xfId="1" applyFont="1" applyBorder="1"/>
    <xf numFmtId="0" fontId="0" fillId="0" borderId="3" xfId="1" applyFont="1" applyBorder="1"/>
    <xf numFmtId="0" fontId="0" fillId="0" borderId="0" xfId="0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4" fillId="5" borderId="1" xfId="1" applyFont="1" applyFill="1" applyBorder="1" applyAlignment="1">
      <alignment horizontal="left" vertical="center"/>
    </xf>
    <xf numFmtId="0" fontId="0" fillId="0" borderId="9" xfId="1" applyFont="1" applyBorder="1"/>
    <xf numFmtId="0" fontId="0" fillId="0" borderId="10" xfId="1" applyFont="1" applyBorder="1"/>
    <xf numFmtId="0" fontId="0" fillId="6" borderId="1" xfId="1" applyFont="1" applyFill="1" applyBorder="1" applyAlignment="1">
      <alignment vertical="top" wrapText="1"/>
    </xf>
    <xf numFmtId="0" fontId="3" fillId="6" borderId="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0" fillId="5" borderId="1" xfId="1" applyFont="1" applyFill="1" applyBorder="1" applyAlignment="1">
      <alignment vertical="top" wrapText="1"/>
    </xf>
    <xf numFmtId="0" fontId="0" fillId="5" borderId="1" xfId="1" applyFont="1" applyFill="1" applyBorder="1" applyAlignment="1">
      <alignment horizontal="left" vertical="center"/>
    </xf>
    <xf numFmtId="164" fontId="2" fillId="8" borderId="1" xfId="1" applyNumberFormat="1" applyFont="1" applyFill="1" applyBorder="1" applyAlignment="1">
      <alignment horizontal="center" vertical="center"/>
    </xf>
    <xf numFmtId="165" fontId="2" fillId="8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</cellXfs>
  <cellStyles count="2">
    <cellStyle name="Normaali" xfId="0" builtinId="0"/>
    <cellStyle name="Normal" xfId="1" xr:uid="{00000000-0005-0000-0000-000000000000}"/>
  </cellStyles>
  <dxfs count="117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i-FI"/>
              <a:t>Kuukausimyynti</a:t>
            </a:r>
          </a:p>
        </c:rich>
      </c:tx>
      <c:layout>
        <c:manualLayout>
          <c:xMode val="edge"/>
          <c:yMode val="edge"/>
          <c:x val="0.39323333333333332"/>
          <c:y val="4.4097222222222225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Yhteenveto!$C$13</c:f>
              <c:strCache>
                <c:ptCount val="1"/>
                <c:pt idx="0">
                  <c:v>Myynti €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Yhteenveto!$B$14:$B$19</c:f>
              <c:strCache>
                <c:ptCount val="6"/>
                <c:pt idx="0">
                  <c:v>Tammikuu</c:v>
                </c:pt>
                <c:pt idx="1">
                  <c:v>Helmikuu</c:v>
                </c:pt>
                <c:pt idx="2">
                  <c:v>Maaliskuu</c:v>
                </c:pt>
                <c:pt idx="3">
                  <c:v>Huhtikuu</c:v>
                </c:pt>
                <c:pt idx="4">
                  <c:v>Toukokuu</c:v>
                </c:pt>
                <c:pt idx="5">
                  <c:v>Kesäkuu</c:v>
                </c:pt>
              </c:strCache>
            </c:strRef>
          </c:cat>
          <c:val>
            <c:numRef>
              <c:f>Yhteenveto!$C$14:$C$19</c:f>
              <c:numCache>
                <c:formatCode>#\ ##0.00\ \€;[Red]\(#\ ##0.00\ \€\);\-</c:formatCode>
                <c:ptCount val="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AE-4AC4-98F3-D80AA1709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i-FI"/>
                  <a:t>Kuukausi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i-FI"/>
                  <a:t>Myynti (€)</a:t>
                </a:r>
              </a:p>
            </c:rich>
          </c:tx>
          <c:overlay val="1"/>
        </c:title>
        <c:numFmt formatCode="#\ ##0.00\ \€;[Red]\(#\ ##0.00\ \€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i-FI"/>
              <a:t>Kulujen jakautuminen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Yhteenveto!$F$13</c:f>
              <c:strCache>
                <c:ptCount val="1"/>
                <c:pt idx="0">
                  <c:v>Osuus %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Yhteenveto!$E$14:$E$19</c:f>
              <c:strCache>
                <c:ptCount val="6"/>
                <c:pt idx="0">
                  <c:v>Vuokra</c:v>
                </c:pt>
                <c:pt idx="1">
                  <c:v>Palkat</c:v>
                </c:pt>
                <c:pt idx="2">
                  <c:v>Markkinointi</c:v>
                </c:pt>
                <c:pt idx="3">
                  <c:v>Materiaalit</c:v>
                </c:pt>
                <c:pt idx="4">
                  <c:v>Ohjelmistot</c:v>
                </c:pt>
                <c:pt idx="5">
                  <c:v>Muut kulut</c:v>
                </c:pt>
              </c:strCache>
            </c:strRef>
          </c:cat>
          <c:val>
            <c:numRef>
              <c:f>Yhteenveto!$F$14:$F$19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C45-4BF8-B324-E27355E8230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19</xdr:row>
      <xdr:rowOff>123825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266700</xdr:colOff>
      <xdr:row>18</xdr:row>
      <xdr:rowOff>133350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4"/>
  <sheetViews>
    <sheetView showGridLines="0" topLeftCell="A12" workbookViewId="0">
      <selection activeCell="K10" sqref="K10"/>
    </sheetView>
  </sheetViews>
  <sheetFormatPr defaultRowHeight="14.5" x14ac:dyDescent="0.35"/>
  <cols>
    <col min="2" max="8" width="20" customWidth="1"/>
  </cols>
  <sheetData>
    <row r="1" spans="2:8" ht="24" customHeight="1" x14ac:dyDescent="0.35"/>
    <row r="2" spans="2:8" ht="24" customHeight="1" x14ac:dyDescent="0.35">
      <c r="B2" s="30" t="s">
        <v>0</v>
      </c>
      <c r="C2" s="26"/>
      <c r="D2" s="26"/>
      <c r="E2" s="26"/>
      <c r="F2" s="26"/>
      <c r="G2" s="26"/>
      <c r="H2" s="27"/>
    </row>
    <row r="3" spans="2:8" ht="24" customHeight="1" x14ac:dyDescent="0.35"/>
    <row r="4" spans="2:8" ht="34" customHeight="1" x14ac:dyDescent="0.35">
      <c r="B4" s="16" t="s">
        <v>1</v>
      </c>
      <c r="C4" s="17"/>
      <c r="D4" s="17"/>
      <c r="E4" s="17"/>
      <c r="F4" s="17"/>
      <c r="G4" s="17"/>
      <c r="H4" s="18"/>
    </row>
    <row r="5" spans="2:8" ht="34" customHeight="1" x14ac:dyDescent="0.35">
      <c r="B5" s="22"/>
      <c r="C5" s="23"/>
      <c r="D5" s="23"/>
      <c r="E5" s="23"/>
      <c r="F5" s="23"/>
      <c r="G5" s="23"/>
      <c r="H5" s="24"/>
    </row>
    <row r="6" spans="2:8" ht="24" customHeight="1" x14ac:dyDescent="0.35"/>
    <row r="7" spans="2:8" ht="24" customHeight="1" x14ac:dyDescent="0.35">
      <c r="B7" s="32" t="s">
        <v>2</v>
      </c>
      <c r="C7" s="26"/>
      <c r="D7" s="26"/>
      <c r="E7" s="26"/>
      <c r="F7" s="26"/>
      <c r="G7" s="26"/>
      <c r="H7" s="27"/>
    </row>
    <row r="8" spans="2:8" ht="34" customHeight="1" x14ac:dyDescent="0.35">
      <c r="B8" s="33" t="s">
        <v>3</v>
      </c>
      <c r="C8" s="17"/>
      <c r="D8" s="17"/>
      <c r="E8" s="17"/>
      <c r="F8" s="17"/>
      <c r="G8" s="17"/>
      <c r="H8" s="18"/>
    </row>
    <row r="9" spans="2:8" ht="34" customHeight="1" x14ac:dyDescent="0.35">
      <c r="B9" s="19"/>
      <c r="C9" s="20"/>
      <c r="D9" s="20"/>
      <c r="E9" s="20"/>
      <c r="F9" s="20"/>
      <c r="G9" s="20"/>
      <c r="H9" s="21"/>
    </row>
    <row r="10" spans="2:8" ht="34" customHeight="1" x14ac:dyDescent="0.35">
      <c r="B10" s="19"/>
      <c r="C10" s="20"/>
      <c r="D10" s="20"/>
      <c r="E10" s="20"/>
      <c r="F10" s="20"/>
      <c r="G10" s="20"/>
      <c r="H10" s="21"/>
    </row>
    <row r="11" spans="2:8" ht="34" customHeight="1" x14ac:dyDescent="0.35">
      <c r="B11" s="19"/>
      <c r="C11" s="20"/>
      <c r="D11" s="20"/>
      <c r="E11" s="20"/>
      <c r="F11" s="20"/>
      <c r="G11" s="20"/>
      <c r="H11" s="21"/>
    </row>
    <row r="12" spans="2:8" ht="34" customHeight="1" x14ac:dyDescent="0.35">
      <c r="B12" s="19"/>
      <c r="C12" s="20"/>
      <c r="D12" s="20"/>
      <c r="E12" s="20"/>
      <c r="F12" s="20"/>
      <c r="G12" s="20"/>
      <c r="H12" s="21"/>
    </row>
    <row r="13" spans="2:8" ht="34" customHeight="1" x14ac:dyDescent="0.35">
      <c r="B13" s="22"/>
      <c r="C13" s="23"/>
      <c r="D13" s="23"/>
      <c r="E13" s="23"/>
      <c r="F13" s="23"/>
      <c r="G13" s="23"/>
      <c r="H13" s="24"/>
    </row>
    <row r="14" spans="2:8" ht="24" customHeight="1" x14ac:dyDescent="0.35"/>
    <row r="15" spans="2:8" ht="24" customHeight="1" x14ac:dyDescent="0.35">
      <c r="B15" s="32" t="s">
        <v>4</v>
      </c>
      <c r="C15" s="26"/>
      <c r="D15" s="26"/>
      <c r="E15" s="26"/>
      <c r="F15" s="26"/>
      <c r="G15" s="26"/>
      <c r="H15" s="27"/>
    </row>
    <row r="16" spans="2:8" ht="34" customHeight="1" x14ac:dyDescent="0.35">
      <c r="B16" s="33" t="s">
        <v>5</v>
      </c>
      <c r="C16" s="17"/>
      <c r="D16" s="17"/>
      <c r="E16" s="17"/>
      <c r="F16" s="17"/>
      <c r="G16" s="17"/>
      <c r="H16" s="18"/>
    </row>
    <row r="17" spans="2:8" ht="34" customHeight="1" x14ac:dyDescent="0.35">
      <c r="B17" s="19"/>
      <c r="C17" s="20"/>
      <c r="D17" s="20"/>
      <c r="E17" s="20"/>
      <c r="F17" s="20"/>
      <c r="G17" s="20"/>
      <c r="H17" s="21"/>
    </row>
    <row r="18" spans="2:8" ht="34" customHeight="1" x14ac:dyDescent="0.35">
      <c r="B18" s="19"/>
      <c r="C18" s="20"/>
      <c r="D18" s="20"/>
      <c r="E18" s="20"/>
      <c r="F18" s="20"/>
      <c r="G18" s="20"/>
      <c r="H18" s="21"/>
    </row>
    <row r="19" spans="2:8" ht="34" customHeight="1" x14ac:dyDescent="0.35">
      <c r="B19" s="19"/>
      <c r="C19" s="20"/>
      <c r="D19" s="20"/>
      <c r="E19" s="20"/>
      <c r="F19" s="20"/>
      <c r="G19" s="20"/>
      <c r="H19" s="21"/>
    </row>
    <row r="20" spans="2:8" ht="34" customHeight="1" x14ac:dyDescent="0.35">
      <c r="B20" s="19"/>
      <c r="C20" s="20"/>
      <c r="D20" s="20"/>
      <c r="E20" s="20"/>
      <c r="F20" s="20"/>
      <c r="G20" s="20"/>
      <c r="H20" s="21"/>
    </row>
    <row r="21" spans="2:8" ht="34" customHeight="1" x14ac:dyDescent="0.35">
      <c r="B21" s="19"/>
      <c r="C21" s="20"/>
      <c r="D21" s="20"/>
      <c r="E21" s="20"/>
      <c r="F21" s="20"/>
      <c r="G21" s="20"/>
      <c r="H21" s="21"/>
    </row>
    <row r="22" spans="2:8" ht="34" customHeight="1" x14ac:dyDescent="0.35">
      <c r="B22" s="22"/>
      <c r="C22" s="23"/>
      <c r="D22" s="23"/>
      <c r="E22" s="23"/>
      <c r="F22" s="23"/>
      <c r="G22" s="23"/>
      <c r="H22" s="24"/>
    </row>
    <row r="23" spans="2:8" ht="24" customHeight="1" x14ac:dyDescent="0.35"/>
    <row r="24" spans="2:8" ht="24" customHeight="1" x14ac:dyDescent="0.35">
      <c r="B24" s="32" t="s">
        <v>6</v>
      </c>
      <c r="C24" s="26"/>
      <c r="D24" s="26"/>
      <c r="E24" s="26"/>
      <c r="F24" s="26"/>
      <c r="G24" s="26"/>
      <c r="H24" s="27"/>
    </row>
    <row r="25" spans="2:8" ht="34" customHeight="1" x14ac:dyDescent="0.35">
      <c r="B25" s="28" t="s">
        <v>7</v>
      </c>
      <c r="C25" s="17"/>
      <c r="D25" s="17"/>
      <c r="E25" s="17"/>
      <c r="F25" s="17"/>
      <c r="G25" s="17"/>
      <c r="H25" s="18"/>
    </row>
    <row r="26" spans="2:8" ht="34" customHeight="1" x14ac:dyDescent="0.35">
      <c r="B26" s="19"/>
      <c r="C26" s="20"/>
      <c r="D26" s="20"/>
      <c r="E26" s="20"/>
      <c r="F26" s="20"/>
      <c r="G26" s="20"/>
      <c r="H26" s="21"/>
    </row>
    <row r="27" spans="2:8" ht="34" customHeight="1" x14ac:dyDescent="0.35">
      <c r="B27" s="19"/>
      <c r="C27" s="20"/>
      <c r="D27" s="20"/>
      <c r="E27" s="20"/>
      <c r="F27" s="20"/>
      <c r="G27" s="20"/>
      <c r="H27" s="21"/>
    </row>
    <row r="28" spans="2:8" ht="34" customHeight="1" x14ac:dyDescent="0.35">
      <c r="B28" s="22"/>
      <c r="C28" s="23"/>
      <c r="D28" s="23"/>
      <c r="E28" s="23"/>
      <c r="F28" s="23"/>
      <c r="G28" s="23"/>
      <c r="H28" s="24"/>
    </row>
    <row r="29" spans="2:8" ht="24" customHeight="1" x14ac:dyDescent="0.35"/>
    <row r="30" spans="2:8" ht="24" customHeight="1" x14ac:dyDescent="0.35"/>
    <row r="31" spans="2:8" ht="24" customHeight="1" x14ac:dyDescent="0.35"/>
    <row r="32" spans="2:8" ht="24" customHeight="1" x14ac:dyDescent="0.35"/>
    <row r="33" ht="24" customHeight="1" x14ac:dyDescent="0.35"/>
    <row r="34" ht="24" customHeight="1" x14ac:dyDescent="0.35"/>
  </sheetData>
  <mergeCells count="8">
    <mergeCell ref="B2:H2"/>
    <mergeCell ref="B15:H15"/>
    <mergeCell ref="B7:H7"/>
    <mergeCell ref="B25:H28"/>
    <mergeCell ref="B16:H22"/>
    <mergeCell ref="B4:H5"/>
    <mergeCell ref="B8:H13"/>
    <mergeCell ref="B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32"/>
  <sheetViews>
    <sheetView showGridLines="0" tabSelected="1" topLeftCell="A8" workbookViewId="0">
      <selection activeCell="E11" sqref="E11"/>
    </sheetView>
  </sheetViews>
  <sheetFormatPr defaultRowHeight="14.5" x14ac:dyDescent="0.35"/>
  <cols>
    <col min="2" max="2" width="22" customWidth="1"/>
    <col min="3" max="3" width="20" customWidth="1"/>
    <col min="4" max="4" width="16" customWidth="1"/>
    <col min="5" max="5" width="18" customWidth="1"/>
    <col min="6" max="6" width="4" customWidth="1"/>
    <col min="7" max="7" width="18" customWidth="1"/>
    <col min="8" max="12" width="14" customWidth="1"/>
    <col min="13" max="13" width="16" customWidth="1"/>
    <col min="14" max="14" width="4" customWidth="1"/>
    <col min="15" max="15" width="28" customWidth="1"/>
    <col min="24" max="24" width="4.81640625" hidden="1" customWidth="1"/>
  </cols>
  <sheetData>
    <row r="1" spans="2:24" ht="22" customHeight="1" x14ac:dyDescent="0.35"/>
    <row r="2" spans="2:24" ht="22" customHeight="1" x14ac:dyDescent="0.35">
      <c r="B2" s="30" t="s">
        <v>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2:24" ht="22" customHeight="1" x14ac:dyDescent="0.35"/>
    <row r="4" spans="2:24" ht="22" customHeight="1" x14ac:dyDescent="0.35">
      <c r="B4" s="31" t="s">
        <v>9</v>
      </c>
      <c r="C4" s="26"/>
      <c r="D4" s="26"/>
      <c r="E4" s="27"/>
    </row>
    <row r="5" spans="2:24" ht="22" customHeight="1" x14ac:dyDescent="0.35">
      <c r="B5" s="3" t="s">
        <v>10</v>
      </c>
      <c r="C5" s="29"/>
      <c r="D5" s="26"/>
      <c r="E5" s="27"/>
    </row>
    <row r="6" spans="2:24" ht="22" customHeight="1" x14ac:dyDescent="0.35">
      <c r="B6" s="3" t="s">
        <v>11</v>
      </c>
      <c r="C6" s="29"/>
      <c r="D6" s="26"/>
      <c r="E6" s="27"/>
    </row>
    <row r="7" spans="2:24" ht="22" customHeight="1" x14ac:dyDescent="0.35">
      <c r="B7" s="3" t="s">
        <v>12</v>
      </c>
      <c r="C7" s="25" t="s">
        <v>13</v>
      </c>
      <c r="D7" s="26"/>
      <c r="E7" s="27"/>
    </row>
    <row r="8" spans="2:24" ht="22" customHeight="1" x14ac:dyDescent="0.35"/>
    <row r="9" spans="2:24" ht="22" customHeight="1" x14ac:dyDescent="0.35">
      <c r="B9" s="31" t="s">
        <v>14</v>
      </c>
      <c r="C9" s="26"/>
      <c r="D9" s="26"/>
      <c r="E9" s="27"/>
      <c r="G9" s="31" t="s">
        <v>15</v>
      </c>
      <c r="H9" s="26"/>
      <c r="I9" s="26"/>
      <c r="J9" s="26"/>
      <c r="K9" s="26"/>
      <c r="L9" s="26"/>
      <c r="M9" s="27"/>
    </row>
    <row r="10" spans="2:24" ht="22" customHeight="1" x14ac:dyDescent="0.35">
      <c r="B10" s="4" t="s">
        <v>16</v>
      </c>
      <c r="C10" s="4" t="s">
        <v>17</v>
      </c>
      <c r="D10" s="4" t="s">
        <v>18</v>
      </c>
      <c r="E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24</v>
      </c>
      <c r="L10" s="4" t="s">
        <v>25</v>
      </c>
      <c r="M10" s="4" t="s">
        <v>26</v>
      </c>
    </row>
    <row r="11" spans="2:24" ht="22" customHeight="1" x14ac:dyDescent="0.35">
      <c r="B11" s="5" t="s">
        <v>27</v>
      </c>
      <c r="C11" s="6">
        <v>220</v>
      </c>
      <c r="D11" s="7">
        <v>6.9</v>
      </c>
      <c r="E11" s="8"/>
      <c r="G11" s="9" t="s">
        <v>20</v>
      </c>
      <c r="H11" s="10">
        <v>0.9</v>
      </c>
      <c r="I11" s="10">
        <v>1</v>
      </c>
      <c r="J11" s="10">
        <v>1.05</v>
      </c>
      <c r="K11" s="10">
        <v>1.1000000000000001</v>
      </c>
      <c r="L11" s="10">
        <v>0.95</v>
      </c>
      <c r="M11" s="10">
        <v>1</v>
      </c>
      <c r="X11">
        <f>C11*D11</f>
        <v>1518</v>
      </c>
    </row>
    <row r="12" spans="2:24" ht="22" customHeight="1" x14ac:dyDescent="0.35">
      <c r="B12" s="5" t="s">
        <v>28</v>
      </c>
      <c r="C12" s="6">
        <v>180</v>
      </c>
      <c r="D12" s="7">
        <v>10.5</v>
      </c>
      <c r="E12" s="8"/>
      <c r="X12">
        <f>C12*D12</f>
        <v>1890</v>
      </c>
    </row>
    <row r="13" spans="2:24" ht="22" customHeight="1" x14ac:dyDescent="0.35">
      <c r="B13" s="5" t="s">
        <v>29</v>
      </c>
      <c r="C13" s="6">
        <v>260</v>
      </c>
      <c r="D13" s="7">
        <v>5.8</v>
      </c>
      <c r="E13" s="8"/>
      <c r="X13">
        <f>C13*D13</f>
        <v>1508</v>
      </c>
    </row>
    <row r="14" spans="2:24" ht="22" customHeight="1" x14ac:dyDescent="0.35">
      <c r="B14" s="5" t="s">
        <v>30</v>
      </c>
      <c r="C14" s="6">
        <v>24</v>
      </c>
      <c r="D14" s="7">
        <v>79</v>
      </c>
      <c r="E14" s="8"/>
      <c r="X14">
        <f>C14*D14</f>
        <v>1896</v>
      </c>
    </row>
    <row r="15" spans="2:24" ht="22" customHeight="1" x14ac:dyDescent="0.35">
      <c r="B15" s="9" t="s">
        <v>31</v>
      </c>
      <c r="C15" s="11"/>
      <c r="D15" s="11"/>
      <c r="E15" s="8"/>
      <c r="X15">
        <f>SUM(X11:X14)</f>
        <v>6812</v>
      </c>
    </row>
    <row r="16" spans="2:24" ht="22" customHeight="1" x14ac:dyDescent="0.35"/>
    <row r="17" spans="2:15" ht="22" customHeight="1" x14ac:dyDescent="0.35"/>
    <row r="18" spans="2:15" ht="32" customHeight="1" x14ac:dyDescent="0.35">
      <c r="B18" s="28" t="s">
        <v>32</v>
      </c>
      <c r="C18" s="17"/>
      <c r="D18" s="17"/>
      <c r="E18" s="17"/>
      <c r="F18" s="18"/>
      <c r="G18" s="16" t="s">
        <v>33</v>
      </c>
      <c r="H18" s="17"/>
      <c r="I18" s="17"/>
      <c r="J18" s="17"/>
      <c r="K18" s="17"/>
      <c r="L18" s="17"/>
      <c r="M18" s="18"/>
    </row>
    <row r="19" spans="2:15" ht="32" customHeight="1" x14ac:dyDescent="0.35">
      <c r="B19" s="19"/>
      <c r="C19" s="20"/>
      <c r="D19" s="20"/>
      <c r="E19" s="20"/>
      <c r="F19" s="21"/>
      <c r="G19" s="19"/>
      <c r="H19" s="20"/>
      <c r="I19" s="20"/>
      <c r="J19" s="20"/>
      <c r="K19" s="20"/>
      <c r="L19" s="20"/>
      <c r="M19" s="21"/>
    </row>
    <row r="20" spans="2:15" ht="32" customHeight="1" x14ac:dyDescent="0.35">
      <c r="B20" s="19"/>
      <c r="C20" s="20"/>
      <c r="D20" s="20"/>
      <c r="E20" s="20"/>
      <c r="F20" s="21"/>
      <c r="G20" s="19"/>
      <c r="H20" s="20"/>
      <c r="I20" s="20"/>
      <c r="J20" s="20"/>
      <c r="K20" s="20"/>
      <c r="L20" s="20"/>
      <c r="M20" s="21"/>
    </row>
    <row r="21" spans="2:15" ht="32" customHeight="1" x14ac:dyDescent="0.35">
      <c r="B21" s="19"/>
      <c r="C21" s="20"/>
      <c r="D21" s="20"/>
      <c r="E21" s="20"/>
      <c r="F21" s="21"/>
      <c r="G21" s="19"/>
      <c r="H21" s="20"/>
      <c r="I21" s="20"/>
      <c r="J21" s="20"/>
      <c r="K21" s="20"/>
      <c r="L21" s="20"/>
      <c r="M21" s="21"/>
    </row>
    <row r="22" spans="2:15" ht="32" customHeight="1" x14ac:dyDescent="0.35">
      <c r="B22" s="19"/>
      <c r="C22" s="20"/>
      <c r="D22" s="20"/>
      <c r="E22" s="20"/>
      <c r="F22" s="21"/>
      <c r="G22" s="19"/>
      <c r="H22" s="20"/>
      <c r="I22" s="20"/>
      <c r="J22" s="20"/>
      <c r="K22" s="20"/>
      <c r="L22" s="20"/>
      <c r="M22" s="21"/>
    </row>
    <row r="23" spans="2:15" ht="32" customHeight="1" x14ac:dyDescent="0.35">
      <c r="B23" s="22"/>
      <c r="C23" s="23"/>
      <c r="D23" s="23"/>
      <c r="E23" s="23"/>
      <c r="F23" s="24"/>
      <c r="G23" s="22"/>
      <c r="H23" s="23"/>
      <c r="I23" s="23"/>
      <c r="J23" s="23"/>
      <c r="K23" s="23"/>
      <c r="L23" s="23"/>
      <c r="M23" s="24"/>
    </row>
    <row r="24" spans="2:15" ht="32" customHeight="1" x14ac:dyDescent="0.35">
      <c r="O24" s="12" t="s">
        <v>34</v>
      </c>
    </row>
    <row r="25" spans="2:15" ht="32" customHeight="1" x14ac:dyDescent="0.35">
      <c r="O25" s="13" t="s">
        <v>35</v>
      </c>
    </row>
    <row r="26" spans="2:15" ht="32" customHeight="1" x14ac:dyDescent="0.35">
      <c r="O26" s="14" t="s">
        <v>36</v>
      </c>
    </row>
    <row r="27" spans="2:15" ht="32" customHeight="1" x14ac:dyDescent="0.35">
      <c r="O27" s="14" t="s">
        <v>37</v>
      </c>
    </row>
    <row r="28" spans="2:15" ht="32" customHeight="1" x14ac:dyDescent="0.35">
      <c r="O28" s="14" t="s">
        <v>38</v>
      </c>
    </row>
    <row r="29" spans="2:15" ht="22" customHeight="1" x14ac:dyDescent="0.35"/>
    <row r="30" spans="2:15" ht="22" customHeight="1" x14ac:dyDescent="0.35"/>
    <row r="31" spans="2:15" ht="22" customHeight="1" x14ac:dyDescent="0.35"/>
    <row r="32" spans="2:15" ht="22" customHeight="1" x14ac:dyDescent="0.35"/>
  </sheetData>
  <mergeCells count="9">
    <mergeCell ref="G18:M23"/>
    <mergeCell ref="C7:E7"/>
    <mergeCell ref="B18:F23"/>
    <mergeCell ref="C6:E6"/>
    <mergeCell ref="B2:M2"/>
    <mergeCell ref="B9:E9"/>
    <mergeCell ref="C5:E5"/>
    <mergeCell ref="G9:M9"/>
    <mergeCell ref="B4:E4"/>
  </mergeCells>
  <conditionalFormatting sqref="C5">
    <cfRule type="expression" dxfId="116" priority="12">
      <formula>LEN(TRIM(C5))&gt;0</formula>
    </cfRule>
  </conditionalFormatting>
  <conditionalFormatting sqref="C6">
    <cfRule type="expression" dxfId="115" priority="13">
      <formula>AND(C6&lt;&gt;"",OR(C6="Erikoistumaton elintarvikkeiden, juomien tai tupakan vähittäiskauppa",C6="Ruokaravintolat",C6="LVI-laitteiden ja -tarvikkeiden tukkukauppa"))</formula>
    </cfRule>
    <cfRule type="expression" dxfId="114" priority="14">
      <formula>AND(C6&lt;&gt;"",NOT(OR(C6="Erikoistumaton elintarvikkeiden, juomien tai tupakan vähittäiskauppa",C6="Ruokaravintolat",C6="LVI-laitteiden ja -tarvikkeiden tukkukauppa")))</formula>
    </cfRule>
  </conditionalFormatting>
  <conditionalFormatting sqref="E11:E15">
    <cfRule type="expression" dxfId="1" priority="1">
      <formula>AND(E11&lt;&gt;"",ABS(E11-X11)&lt;0.0001)</formula>
    </cfRule>
    <cfRule type="expression" dxfId="0" priority="2">
      <formula>AND(E11&lt;&gt;"",ABS(E11-X11)&gt;=0.0001)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27"/>
  <sheetViews>
    <sheetView showGridLines="0" workbookViewId="0">
      <selection activeCell="K13" sqref="K13"/>
    </sheetView>
  </sheetViews>
  <sheetFormatPr defaultRowHeight="14.5" x14ac:dyDescent="0.35"/>
  <cols>
    <col min="2" max="2" width="22" customWidth="1"/>
    <col min="3" max="3" width="16" customWidth="1"/>
    <col min="4" max="4" width="14" customWidth="1"/>
    <col min="5" max="5" width="20" customWidth="1"/>
    <col min="6" max="6" width="4" customWidth="1"/>
    <col min="7" max="7" width="28" customWidth="1"/>
    <col min="24" max="25" width="13" hidden="1" customWidth="1"/>
  </cols>
  <sheetData>
    <row r="1" spans="2:25" ht="22" customHeight="1" x14ac:dyDescent="0.35"/>
    <row r="2" spans="2:25" ht="22" customHeight="1" x14ac:dyDescent="0.35">
      <c r="B2" s="30" t="s">
        <v>39</v>
      </c>
      <c r="C2" s="26"/>
      <c r="D2" s="26"/>
      <c r="E2" s="27"/>
    </row>
    <row r="3" spans="2:25" ht="22" customHeight="1" x14ac:dyDescent="0.35"/>
    <row r="4" spans="2:25" ht="32" customHeight="1" x14ac:dyDescent="0.35">
      <c r="B4" s="28" t="s">
        <v>40</v>
      </c>
      <c r="C4" s="17"/>
      <c r="D4" s="17"/>
      <c r="E4" s="18"/>
    </row>
    <row r="5" spans="2:25" ht="32" customHeight="1" x14ac:dyDescent="0.35">
      <c r="B5" s="19"/>
      <c r="C5" s="20"/>
      <c r="D5" s="20"/>
      <c r="E5" s="21"/>
    </row>
    <row r="6" spans="2:25" ht="32" customHeight="1" x14ac:dyDescent="0.35">
      <c r="B6" s="22"/>
      <c r="C6" s="23"/>
      <c r="D6" s="23"/>
      <c r="E6" s="24"/>
    </row>
    <row r="7" spans="2:25" ht="22" customHeight="1" x14ac:dyDescent="0.35">
      <c r="B7" s="4" t="s">
        <v>41</v>
      </c>
      <c r="C7" s="4" t="s">
        <v>42</v>
      </c>
      <c r="D7" s="4" t="s">
        <v>43</v>
      </c>
      <c r="E7" s="4" t="s">
        <v>6</v>
      </c>
    </row>
    <row r="8" spans="2:25" ht="22" customHeight="1" x14ac:dyDescent="0.35">
      <c r="B8" s="5" t="s">
        <v>44</v>
      </c>
      <c r="C8" s="7">
        <v>950</v>
      </c>
      <c r="D8" s="15"/>
      <c r="E8" s="13" t="s">
        <v>45</v>
      </c>
      <c r="X8">
        <f t="shared" ref="X8:X13" si="0">C8/$X$14</f>
        <v>0.16964285714285715</v>
      </c>
    </row>
    <row r="9" spans="2:25" ht="22" customHeight="1" x14ac:dyDescent="0.35">
      <c r="B9" s="5" t="s">
        <v>46</v>
      </c>
      <c r="C9" s="7">
        <v>2600</v>
      </c>
      <c r="D9" s="15"/>
      <c r="E9" s="13" t="s">
        <v>45</v>
      </c>
      <c r="X9">
        <f t="shared" si="0"/>
        <v>0.4642857142857143</v>
      </c>
    </row>
    <row r="10" spans="2:25" ht="22" customHeight="1" x14ac:dyDescent="0.35">
      <c r="B10" s="5" t="s">
        <v>47</v>
      </c>
      <c r="C10" s="7">
        <v>450</v>
      </c>
      <c r="D10" s="15"/>
      <c r="E10" s="13" t="s">
        <v>48</v>
      </c>
      <c r="X10">
        <f t="shared" si="0"/>
        <v>8.0357142857142863E-2</v>
      </c>
    </row>
    <row r="11" spans="2:25" ht="22" customHeight="1" x14ac:dyDescent="0.35">
      <c r="B11" s="5" t="s">
        <v>49</v>
      </c>
      <c r="C11" s="7">
        <v>1200</v>
      </c>
      <c r="D11" s="15"/>
      <c r="E11" s="13" t="s">
        <v>48</v>
      </c>
      <c r="X11">
        <f t="shared" si="0"/>
        <v>0.21428571428571427</v>
      </c>
    </row>
    <row r="12" spans="2:25" ht="22" customHeight="1" x14ac:dyDescent="0.35">
      <c r="B12" s="5" t="s">
        <v>50</v>
      </c>
      <c r="C12" s="7">
        <v>180</v>
      </c>
      <c r="D12" s="15"/>
      <c r="E12" s="13" t="s">
        <v>45</v>
      </c>
      <c r="X12">
        <f t="shared" si="0"/>
        <v>3.214285714285714E-2</v>
      </c>
    </row>
    <row r="13" spans="2:25" ht="22" customHeight="1" x14ac:dyDescent="0.35">
      <c r="B13" s="5" t="s">
        <v>51</v>
      </c>
      <c r="C13" s="7">
        <v>220</v>
      </c>
      <c r="D13" s="15"/>
      <c r="E13" s="13" t="s">
        <v>51</v>
      </c>
      <c r="X13">
        <f t="shared" si="0"/>
        <v>3.9285714285714285E-2</v>
      </c>
    </row>
    <row r="14" spans="2:25" ht="22" customHeight="1" x14ac:dyDescent="0.35">
      <c r="B14" s="9" t="s">
        <v>52</v>
      </c>
      <c r="C14" s="8"/>
      <c r="D14" s="15"/>
      <c r="E14" s="11" t="s">
        <v>53</v>
      </c>
      <c r="X14">
        <f>SUM(C8:C13)</f>
        <v>5600</v>
      </c>
      <c r="Y14">
        <f>SUM(X8:X13)</f>
        <v>1</v>
      </c>
    </row>
    <row r="15" spans="2:25" ht="22" customHeight="1" x14ac:dyDescent="0.35"/>
    <row r="16" spans="2:25" ht="32" customHeight="1" x14ac:dyDescent="0.35">
      <c r="B16" s="16" t="s">
        <v>54</v>
      </c>
      <c r="C16" s="17"/>
      <c r="D16" s="17"/>
      <c r="E16" s="17"/>
      <c r="F16" s="17"/>
      <c r="G16" s="18"/>
    </row>
    <row r="17" spans="2:7" ht="32" customHeight="1" x14ac:dyDescent="0.35">
      <c r="B17" s="19"/>
      <c r="C17" s="20"/>
      <c r="D17" s="20"/>
      <c r="E17" s="20"/>
      <c r="F17" s="20"/>
      <c r="G17" s="21"/>
    </row>
    <row r="18" spans="2:7" ht="32" customHeight="1" x14ac:dyDescent="0.35">
      <c r="B18" s="19"/>
      <c r="C18" s="20"/>
      <c r="D18" s="20"/>
      <c r="E18" s="20"/>
      <c r="F18" s="20"/>
      <c r="G18" s="21"/>
    </row>
    <row r="19" spans="2:7" ht="32" customHeight="1" x14ac:dyDescent="0.35">
      <c r="B19" s="19"/>
      <c r="C19" s="20"/>
      <c r="D19" s="20"/>
      <c r="E19" s="20"/>
      <c r="F19" s="20"/>
      <c r="G19" s="21"/>
    </row>
    <row r="20" spans="2:7" ht="32" customHeight="1" x14ac:dyDescent="0.35">
      <c r="B20" s="19"/>
      <c r="C20" s="20"/>
      <c r="D20" s="20"/>
      <c r="E20" s="20"/>
      <c r="F20" s="20"/>
      <c r="G20" s="21"/>
    </row>
    <row r="21" spans="2:7" ht="32" customHeight="1" x14ac:dyDescent="0.35">
      <c r="B21" s="22"/>
      <c r="C21" s="23"/>
      <c r="D21" s="23"/>
      <c r="E21" s="23"/>
      <c r="F21" s="23"/>
      <c r="G21" s="24"/>
    </row>
    <row r="22" spans="2:7" ht="22" customHeight="1" x14ac:dyDescent="0.35"/>
    <row r="23" spans="2:7" ht="22" customHeight="1" x14ac:dyDescent="0.35"/>
    <row r="24" spans="2:7" ht="22" customHeight="1" x14ac:dyDescent="0.35"/>
    <row r="25" spans="2:7" ht="22" customHeight="1" x14ac:dyDescent="0.35"/>
    <row r="26" spans="2:7" ht="22" customHeight="1" x14ac:dyDescent="0.35"/>
    <row r="27" spans="2:7" ht="22" customHeight="1" x14ac:dyDescent="0.35"/>
  </sheetData>
  <mergeCells count="3">
    <mergeCell ref="B16:G21"/>
    <mergeCell ref="B4:E6"/>
    <mergeCell ref="B2:E2"/>
  </mergeCells>
  <conditionalFormatting sqref="C14">
    <cfRule type="expression" dxfId="111" priority="1">
      <formula>AND(C14&lt;&gt;"",ABS(C14-$X$14)&lt;0.0001)</formula>
    </cfRule>
    <cfRule type="expression" dxfId="110" priority="2">
      <formula>AND(C14&lt;&gt;"",ABS(C14-$X$14)&gt;=0.0001)</formula>
    </cfRule>
  </conditionalFormatting>
  <conditionalFormatting sqref="D8">
    <cfRule type="expression" dxfId="109" priority="3">
      <formula>AND(D8&lt;&gt;"",ABS(D8-$X$8)&lt;0.0001)</formula>
    </cfRule>
    <cfRule type="expression" dxfId="108" priority="4">
      <formula>AND(D8&lt;&gt;"",ABS(D8-$X$8)&gt;=0.0001)</formula>
    </cfRule>
  </conditionalFormatting>
  <conditionalFormatting sqref="D9">
    <cfRule type="expression" dxfId="107" priority="5">
      <formula>AND(D9&lt;&gt;"",ABS(D9-$X$9)&lt;0.0001)</formula>
    </cfRule>
    <cfRule type="expression" dxfId="106" priority="6">
      <formula>AND(D9&lt;&gt;"",ABS(D9-$X$9)&gt;=0.0001)</formula>
    </cfRule>
  </conditionalFormatting>
  <conditionalFormatting sqref="D10">
    <cfRule type="expression" dxfId="105" priority="7">
      <formula>AND(D10&lt;&gt;"",ABS(D10-$X$10)&lt;0.0001)</formula>
    </cfRule>
    <cfRule type="expression" dxfId="104" priority="8">
      <formula>AND(D10&lt;&gt;"",ABS(D10-$X$10)&gt;=0.0001)</formula>
    </cfRule>
  </conditionalFormatting>
  <conditionalFormatting sqref="D11">
    <cfRule type="expression" dxfId="103" priority="9">
      <formula>AND(D11&lt;&gt;"",ABS(D11-$X$11)&lt;0.0001)</formula>
    </cfRule>
    <cfRule type="expression" dxfId="102" priority="10">
      <formula>AND(D11&lt;&gt;"",ABS(D11-$X$11)&gt;=0.0001)</formula>
    </cfRule>
  </conditionalFormatting>
  <conditionalFormatting sqref="D12">
    <cfRule type="expression" dxfId="101" priority="11">
      <formula>AND(D12&lt;&gt;"",ABS(D12-$X$12)&lt;0.0001)</formula>
    </cfRule>
    <cfRule type="expression" dxfId="100" priority="12">
      <formula>AND(D12&lt;&gt;"",ABS(D12-$X$12)&gt;=0.0001)</formula>
    </cfRule>
  </conditionalFormatting>
  <conditionalFormatting sqref="D13">
    <cfRule type="expression" dxfId="99" priority="13">
      <formula>AND(D13&lt;&gt;"",ABS(D13-$X$13)&lt;0.0001)</formula>
    </cfRule>
    <cfRule type="expression" dxfId="98" priority="14">
      <formula>AND(D13&lt;&gt;"",ABS(D13-$X$13)&gt;=0.0001)</formula>
    </cfRule>
  </conditionalFormatting>
  <conditionalFormatting sqref="D14">
    <cfRule type="expression" dxfId="97" priority="15">
      <formula>AND(D14&lt;&gt;"",ABS(D14-$Y$14)&lt;0.0001)</formula>
    </cfRule>
    <cfRule type="expression" dxfId="96" priority="16">
      <formula>AND(D14&lt;&gt;"",ABS(D14-$Y$14)&gt;=0.0001)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C35"/>
  <sheetViews>
    <sheetView showGridLines="0" topLeftCell="A11" workbookViewId="0">
      <selection activeCell="H16" sqref="H16"/>
    </sheetView>
  </sheetViews>
  <sheetFormatPr defaultRowHeight="14.5" x14ac:dyDescent="0.35"/>
  <cols>
    <col min="2" max="2" width="31.6328125" bestFit="1" customWidth="1"/>
    <col min="3" max="8" width="15" customWidth="1"/>
    <col min="9" max="9" width="4" customWidth="1"/>
    <col min="10" max="10" width="34" customWidth="1"/>
    <col min="11" max="11" width="18" customWidth="1"/>
    <col min="24" max="29" width="13" hidden="1" customWidth="1"/>
  </cols>
  <sheetData>
    <row r="1" spans="2:29" ht="22" customHeight="1" x14ac:dyDescent="0.35"/>
    <row r="2" spans="2:29" ht="22" customHeight="1" x14ac:dyDescent="0.35">
      <c r="B2" s="30" t="s">
        <v>55</v>
      </c>
      <c r="C2" s="26"/>
      <c r="D2" s="26"/>
      <c r="E2" s="26"/>
      <c r="F2" s="26"/>
      <c r="G2" s="26"/>
      <c r="H2" s="27"/>
    </row>
    <row r="3" spans="2:29" ht="22" customHeight="1" x14ac:dyDescent="0.35"/>
    <row r="4" spans="2:29" ht="36" customHeight="1" x14ac:dyDescent="0.35">
      <c r="B4" s="28" t="s">
        <v>56</v>
      </c>
      <c r="C4" s="17"/>
      <c r="D4" s="17"/>
      <c r="E4" s="17"/>
      <c r="F4" s="17"/>
      <c r="G4" s="17"/>
      <c r="H4" s="18"/>
    </row>
    <row r="5" spans="2:29" ht="36" customHeight="1" x14ac:dyDescent="0.35">
      <c r="B5" s="19"/>
      <c r="C5" s="20"/>
      <c r="D5" s="20"/>
      <c r="E5" s="20"/>
      <c r="F5" s="20"/>
      <c r="G5" s="20"/>
      <c r="H5" s="21"/>
    </row>
    <row r="6" spans="2:29" ht="36" customHeight="1" x14ac:dyDescent="0.35">
      <c r="B6" s="19"/>
      <c r="C6" s="20"/>
      <c r="D6" s="20"/>
      <c r="E6" s="20"/>
      <c r="F6" s="20"/>
      <c r="G6" s="20"/>
      <c r="H6" s="21"/>
    </row>
    <row r="7" spans="2:29" ht="36" customHeight="1" x14ac:dyDescent="0.35">
      <c r="B7" s="22"/>
      <c r="C7" s="23"/>
      <c r="D7" s="23"/>
      <c r="E7" s="23"/>
      <c r="F7" s="23"/>
      <c r="G7" s="23"/>
      <c r="H7" s="24"/>
    </row>
    <row r="8" spans="2:29" ht="36" customHeight="1" x14ac:dyDescent="0.35">
      <c r="B8" s="4" t="s">
        <v>16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25</v>
      </c>
      <c r="H8" s="4" t="s">
        <v>26</v>
      </c>
      <c r="J8" s="16" t="s">
        <v>57</v>
      </c>
      <c r="K8" s="18"/>
    </row>
    <row r="9" spans="2:29" ht="22" customHeight="1" x14ac:dyDescent="0.35">
      <c r="B9" s="5" t="str">
        <f>Lähtötiedot!B11</f>
        <v>Aamupalapaketti</v>
      </c>
      <c r="C9" s="8"/>
      <c r="D9" s="8"/>
      <c r="E9" s="8"/>
      <c r="F9" s="8"/>
      <c r="G9" s="8"/>
      <c r="H9" s="8"/>
      <c r="J9" s="19"/>
      <c r="K9" s="21"/>
      <c r="X9">
        <f>Lähtötiedot!$E$11*Lähtötiedot!$H$11</f>
        <v>0</v>
      </c>
      <c r="Y9">
        <f>Lähtötiedot!$E$11*Lähtötiedot!$I$11</f>
        <v>0</v>
      </c>
      <c r="Z9">
        <f>Lähtötiedot!$E$11*Lähtötiedot!$J$11</f>
        <v>0</v>
      </c>
      <c r="AA9">
        <f>Lähtötiedot!$E$11*Lähtötiedot!$K$11</f>
        <v>0</v>
      </c>
      <c r="AB9">
        <f>Lähtötiedot!$E$11*Lähtötiedot!$L$11</f>
        <v>0</v>
      </c>
      <c r="AC9">
        <f>Lähtötiedot!$E$11*Lähtötiedot!$M$11</f>
        <v>0</v>
      </c>
    </row>
    <row r="10" spans="2:29" ht="22" customHeight="1" x14ac:dyDescent="0.35">
      <c r="B10" s="5" t="str">
        <f>Lähtötiedot!B12</f>
        <v>Lounassalaatti</v>
      </c>
      <c r="C10" s="8"/>
      <c r="D10" s="8"/>
      <c r="E10" s="8"/>
      <c r="F10" s="8"/>
      <c r="G10" s="8"/>
      <c r="H10" s="8"/>
      <c r="J10" s="19"/>
      <c r="K10" s="21"/>
      <c r="X10">
        <f>Lähtötiedot!$E$12*Lähtötiedot!$H$11</f>
        <v>0</v>
      </c>
      <c r="Y10">
        <f>Lähtötiedot!$E$12*Lähtötiedot!$I$11</f>
        <v>0</v>
      </c>
      <c r="Z10">
        <f>Lähtötiedot!$E$12*Lähtötiedot!$J$11</f>
        <v>0</v>
      </c>
      <c r="AA10">
        <f>Lähtötiedot!$E$12*Lähtötiedot!$K$11</f>
        <v>0</v>
      </c>
      <c r="AB10">
        <f>Lähtötiedot!$E$12*Lähtötiedot!$L$11</f>
        <v>0</v>
      </c>
      <c r="AC10">
        <f>Lähtötiedot!$E$12*Lähtötiedot!$M$11</f>
        <v>0</v>
      </c>
    </row>
    <row r="11" spans="2:29" ht="22" customHeight="1" x14ac:dyDescent="0.35">
      <c r="B11" s="5" t="str">
        <f>Lähtötiedot!B13</f>
        <v>Kahvi + leivos</v>
      </c>
      <c r="C11" s="8"/>
      <c r="D11" s="8"/>
      <c r="E11" s="8"/>
      <c r="F11" s="8"/>
      <c r="G11" s="8"/>
      <c r="H11" s="8"/>
      <c r="J11" s="19"/>
      <c r="K11" s="21"/>
      <c r="X11">
        <f>Lähtötiedot!$E$13*Lähtötiedot!$H$11</f>
        <v>0</v>
      </c>
      <c r="Y11">
        <f>Lähtötiedot!$E$13*Lähtötiedot!$I$11</f>
        <v>0</v>
      </c>
      <c r="Z11">
        <f>Lähtötiedot!$E$13*Lähtötiedot!$J$11</f>
        <v>0</v>
      </c>
      <c r="AA11">
        <f>Lähtötiedot!$E$13*Lähtötiedot!$K$11</f>
        <v>0</v>
      </c>
      <c r="AB11">
        <f>Lähtötiedot!$E$13*Lähtötiedot!$L$11</f>
        <v>0</v>
      </c>
      <c r="AC11">
        <f>Lähtötiedot!$E$13*Lähtötiedot!$M$11</f>
        <v>0</v>
      </c>
    </row>
    <row r="12" spans="2:29" ht="22" customHeight="1" x14ac:dyDescent="0.35">
      <c r="B12" s="5" t="str">
        <f>Lähtötiedot!B14</f>
        <v>Catering-paketti</v>
      </c>
      <c r="C12" s="8"/>
      <c r="D12" s="8"/>
      <c r="E12" s="8"/>
      <c r="F12" s="8"/>
      <c r="G12" s="8"/>
      <c r="H12" s="8"/>
      <c r="J12" s="19"/>
      <c r="K12" s="21"/>
      <c r="X12">
        <f>Lähtötiedot!$E$14*Lähtötiedot!$H$11</f>
        <v>0</v>
      </c>
      <c r="Y12">
        <f>Lähtötiedot!$E$14*Lähtötiedot!$I$11</f>
        <v>0</v>
      </c>
      <c r="Z12">
        <f>Lähtötiedot!$E$14*Lähtötiedot!$J$11</f>
        <v>0</v>
      </c>
      <c r="AA12">
        <f>Lähtötiedot!$E$14*Lähtötiedot!$K$11</f>
        <v>0</v>
      </c>
      <c r="AB12">
        <f>Lähtötiedot!$E$14*Lähtötiedot!$L$11</f>
        <v>0</v>
      </c>
      <c r="AC12">
        <f>Lähtötiedot!$E$14*Lähtötiedot!$M$11</f>
        <v>0</v>
      </c>
    </row>
    <row r="13" spans="2:29" ht="22" customHeight="1" x14ac:dyDescent="0.35">
      <c r="B13" s="9" t="s">
        <v>58</v>
      </c>
      <c r="C13" s="8"/>
      <c r="D13" s="8"/>
      <c r="E13" s="8"/>
      <c r="F13" s="8"/>
      <c r="G13" s="8"/>
      <c r="H13" s="8"/>
      <c r="J13" s="19"/>
      <c r="K13" s="21"/>
      <c r="X13">
        <f t="shared" ref="X13:AC13" si="0">SUM(X9:X12)</f>
        <v>0</v>
      </c>
      <c r="Y13">
        <f t="shared" si="0"/>
        <v>0</v>
      </c>
      <c r="Z13">
        <f t="shared" si="0"/>
        <v>0</v>
      </c>
      <c r="AA13">
        <f t="shared" si="0"/>
        <v>0</v>
      </c>
      <c r="AB13">
        <f t="shared" si="0"/>
        <v>0</v>
      </c>
      <c r="AC13">
        <f t="shared" si="0"/>
        <v>0</v>
      </c>
    </row>
    <row r="14" spans="2:29" ht="22" customHeight="1" x14ac:dyDescent="0.35">
      <c r="J14" s="19"/>
      <c r="K14" s="21"/>
    </row>
    <row r="15" spans="2:29" ht="22" customHeight="1" x14ac:dyDescent="0.35">
      <c r="B15" s="31" t="s">
        <v>59</v>
      </c>
      <c r="C15" s="26"/>
      <c r="D15" s="27"/>
      <c r="J15" s="19"/>
      <c r="K15" s="21"/>
    </row>
    <row r="16" spans="2:29" ht="22" customHeight="1" x14ac:dyDescent="0.35">
      <c r="B16" s="3" t="s">
        <v>60</v>
      </c>
      <c r="C16" s="8"/>
      <c r="J16" s="19"/>
      <c r="K16" s="21"/>
      <c r="X16">
        <f>SUM(X13:AC13)</f>
        <v>0</v>
      </c>
    </row>
    <row r="17" spans="2:24" ht="22" customHeight="1" x14ac:dyDescent="0.35">
      <c r="B17" s="3" t="s">
        <v>61</v>
      </c>
      <c r="C17" s="8"/>
      <c r="J17" s="22"/>
      <c r="K17" s="24"/>
      <c r="X17">
        <f>Kulut!X14*6</f>
        <v>33600</v>
      </c>
    </row>
    <row r="18" spans="2:24" ht="22" customHeight="1" x14ac:dyDescent="0.35">
      <c r="B18" s="3" t="s">
        <v>62</v>
      </c>
      <c r="C18" s="8"/>
      <c r="X18">
        <f>X16-X17</f>
        <v>-33600</v>
      </c>
    </row>
    <row r="19" spans="2:24" ht="22" customHeight="1" x14ac:dyDescent="0.35">
      <c r="B19" s="3" t="s">
        <v>63</v>
      </c>
      <c r="C19" s="8"/>
      <c r="X19">
        <f>AVERAGE(X13:AC13)</f>
        <v>0</v>
      </c>
    </row>
    <row r="20" spans="2:24" ht="22" customHeight="1" x14ac:dyDescent="0.35">
      <c r="B20" s="3" t="s">
        <v>64</v>
      </c>
      <c r="C20" s="15"/>
      <c r="X20">
        <f>IFERROR(X18/X16,0)</f>
        <v>0</v>
      </c>
    </row>
    <row r="21" spans="2:24" ht="22" customHeight="1" x14ac:dyDescent="0.35"/>
    <row r="22" spans="2:24" ht="36" customHeight="1" x14ac:dyDescent="0.35">
      <c r="B22" s="16" t="s">
        <v>65</v>
      </c>
      <c r="C22" s="17"/>
      <c r="D22" s="17"/>
      <c r="E22" s="17"/>
      <c r="F22" s="17"/>
      <c r="G22" s="17"/>
      <c r="H22" s="18"/>
    </row>
    <row r="23" spans="2:24" ht="36" customHeight="1" x14ac:dyDescent="0.35">
      <c r="B23" s="19"/>
      <c r="C23" s="20"/>
      <c r="D23" s="20"/>
      <c r="E23" s="20"/>
      <c r="F23" s="20"/>
      <c r="G23" s="20"/>
      <c r="H23" s="21"/>
    </row>
    <row r="24" spans="2:24" ht="36" customHeight="1" x14ac:dyDescent="0.35">
      <c r="B24" s="19"/>
      <c r="C24" s="20"/>
      <c r="D24" s="20"/>
      <c r="E24" s="20"/>
      <c r="F24" s="20"/>
      <c r="G24" s="20"/>
      <c r="H24" s="21"/>
    </row>
    <row r="25" spans="2:24" ht="36" customHeight="1" x14ac:dyDescent="0.35">
      <c r="B25" s="19"/>
      <c r="C25" s="20"/>
      <c r="D25" s="20"/>
      <c r="E25" s="20"/>
      <c r="F25" s="20"/>
      <c r="G25" s="20"/>
      <c r="H25" s="21"/>
    </row>
    <row r="26" spans="2:24" ht="36" customHeight="1" x14ac:dyDescent="0.35">
      <c r="B26" s="22"/>
      <c r="C26" s="23"/>
      <c r="D26" s="23"/>
      <c r="E26" s="23"/>
      <c r="F26" s="23"/>
      <c r="G26" s="23"/>
      <c r="H26" s="24"/>
    </row>
    <row r="27" spans="2:24" ht="22" customHeight="1" x14ac:dyDescent="0.35"/>
    <row r="28" spans="2:24" ht="22" customHeight="1" x14ac:dyDescent="0.35"/>
    <row r="29" spans="2:24" ht="22" customHeight="1" x14ac:dyDescent="0.35"/>
    <row r="30" spans="2:24" ht="22" customHeight="1" x14ac:dyDescent="0.35"/>
    <row r="31" spans="2:24" ht="22" customHeight="1" x14ac:dyDescent="0.35"/>
    <row r="32" spans="2:24" ht="22" customHeight="1" x14ac:dyDescent="0.35"/>
    <row r="33" ht="22" customHeight="1" x14ac:dyDescent="0.35"/>
    <row r="34" ht="22" customHeight="1" x14ac:dyDescent="0.35"/>
    <row r="35" ht="22" customHeight="1" x14ac:dyDescent="0.35"/>
  </sheetData>
  <mergeCells count="5">
    <mergeCell ref="J8:K17"/>
    <mergeCell ref="B2:H2"/>
    <mergeCell ref="B4:H7"/>
    <mergeCell ref="B15:D15"/>
    <mergeCell ref="B22:H26"/>
  </mergeCells>
  <conditionalFormatting sqref="C9">
    <cfRule type="expression" dxfId="95" priority="1">
      <formula>AND(C9&lt;&gt;"",ABS(C9-$X$9)&lt;0.0001)</formula>
    </cfRule>
    <cfRule type="expression" dxfId="94" priority="2">
      <formula>AND(C9&lt;&gt;"",ABS(C9-$X$9)&gt;=0.0001)</formula>
    </cfRule>
  </conditionalFormatting>
  <conditionalFormatting sqref="C10">
    <cfRule type="expression" dxfId="93" priority="13">
      <formula>AND(C10&lt;&gt;"",ABS(C10-$X$10)&lt;0.0001)</formula>
    </cfRule>
    <cfRule type="expression" dxfId="92" priority="14">
      <formula>AND(C10&lt;&gt;"",ABS(C10-$X$10)&gt;=0.0001)</formula>
    </cfRule>
  </conditionalFormatting>
  <conditionalFormatting sqref="C11">
    <cfRule type="expression" dxfId="91" priority="25">
      <formula>AND(C11&lt;&gt;"",ABS(C11-$X$11)&lt;0.0001)</formula>
    </cfRule>
    <cfRule type="expression" dxfId="90" priority="26">
      <formula>AND(C11&lt;&gt;"",ABS(C11-$X$11)&gt;=0.0001)</formula>
    </cfRule>
  </conditionalFormatting>
  <conditionalFormatting sqref="C12">
    <cfRule type="expression" dxfId="89" priority="38">
      <formula>AND(C12&lt;&gt;"",ABS(C12-$X$12)&gt;=0.0001)</formula>
    </cfRule>
    <cfRule type="expression" dxfId="88" priority="37">
      <formula>AND(C12&lt;&gt;"",ABS(C12-$X$12)&lt;0.0001)</formula>
    </cfRule>
  </conditionalFormatting>
  <conditionalFormatting sqref="C13">
    <cfRule type="expression" dxfId="87" priority="50">
      <formula>AND(C13&lt;&gt;"",ABS(C13-$X$13)&gt;=0.0001)</formula>
    </cfRule>
    <cfRule type="expression" dxfId="86" priority="49">
      <formula>AND(C13&lt;&gt;"",ABS(C13-$X$13)&lt;0.0001)</formula>
    </cfRule>
  </conditionalFormatting>
  <conditionalFormatting sqref="C16">
    <cfRule type="expression" dxfId="85" priority="61">
      <formula>AND(C16&lt;&gt;"",ABS(C16-$X$16)&lt;0.0001)</formula>
    </cfRule>
    <cfRule type="expression" dxfId="84" priority="62">
      <formula>AND(C16&lt;&gt;"",ABS(C16-$X$16)&gt;=0.0001)</formula>
    </cfRule>
  </conditionalFormatting>
  <conditionalFormatting sqref="C17">
    <cfRule type="expression" dxfId="83" priority="64">
      <formula>AND(C17&lt;&gt;"",ABS(C17-$X$17)&gt;=0.0001)</formula>
    </cfRule>
    <cfRule type="expression" dxfId="82" priority="63">
      <formula>AND(C17&lt;&gt;"",ABS(C17-$X$17)&lt;0.0001)</formula>
    </cfRule>
  </conditionalFormatting>
  <conditionalFormatting sqref="C18">
    <cfRule type="expression" dxfId="81" priority="66">
      <formula>AND(C18&lt;&gt;"",ABS(C18-$X$18)&gt;=0.0001)</formula>
    </cfRule>
    <cfRule type="expression" dxfId="80" priority="65">
      <formula>AND(C18&lt;&gt;"",ABS(C18-$X$18)&lt;0.0001)</formula>
    </cfRule>
  </conditionalFormatting>
  <conditionalFormatting sqref="C19">
    <cfRule type="expression" dxfId="79" priority="68">
      <formula>AND(C19&lt;&gt;"",ABS(C19-$X$19)&gt;=0.0001)</formula>
    </cfRule>
    <cfRule type="expression" dxfId="78" priority="67">
      <formula>AND(C19&lt;&gt;"",ABS(C19-$X$19)&lt;0.0001)</formula>
    </cfRule>
  </conditionalFormatting>
  <conditionalFormatting sqref="C20">
    <cfRule type="expression" dxfId="77" priority="70">
      <formula>AND(C20&lt;&gt;"",ABS(C20-$X$20)&gt;=0.0001)</formula>
    </cfRule>
    <cfRule type="expression" dxfId="76" priority="69">
      <formula>AND(C20&lt;&gt;"",ABS(C20-$X$20)&lt;0.0001)</formula>
    </cfRule>
  </conditionalFormatting>
  <conditionalFormatting sqref="D9">
    <cfRule type="expression" dxfId="75" priority="3">
      <formula>AND(D9&lt;&gt;"",ABS(D9-$Y$9)&lt;0.0001)</formula>
    </cfRule>
    <cfRule type="expression" dxfId="74" priority="4">
      <formula>AND(D9&lt;&gt;"",ABS(D9-$Y$9)&gt;=0.0001)</formula>
    </cfRule>
  </conditionalFormatting>
  <conditionalFormatting sqref="D10">
    <cfRule type="expression" dxfId="73" priority="15">
      <formula>AND(D10&lt;&gt;"",ABS(D10-$Y$10)&lt;0.0001)</formula>
    </cfRule>
    <cfRule type="expression" dxfId="72" priority="16">
      <formula>AND(D10&lt;&gt;"",ABS(D10-$Y$10)&gt;=0.0001)</formula>
    </cfRule>
  </conditionalFormatting>
  <conditionalFormatting sqref="D11">
    <cfRule type="expression" dxfId="71" priority="27">
      <formula>AND(D11&lt;&gt;"",ABS(D11-$Y$11)&lt;0.0001)</formula>
    </cfRule>
    <cfRule type="expression" dxfId="70" priority="28">
      <formula>AND(D11&lt;&gt;"",ABS(D11-$Y$11)&gt;=0.0001)</formula>
    </cfRule>
  </conditionalFormatting>
  <conditionalFormatting sqref="D12">
    <cfRule type="expression" dxfId="69" priority="39">
      <formula>AND(D12&lt;&gt;"",ABS(D12-$Y$12)&lt;0.0001)</formula>
    </cfRule>
    <cfRule type="expression" dxfId="68" priority="40">
      <formula>AND(D12&lt;&gt;"",ABS(D12-$Y$12)&gt;=0.0001)</formula>
    </cfRule>
  </conditionalFormatting>
  <conditionalFormatting sqref="D13">
    <cfRule type="expression" dxfId="67" priority="52">
      <formula>AND(D13&lt;&gt;"",ABS(D13-$Y$13)&gt;=0.0001)</formula>
    </cfRule>
    <cfRule type="expression" dxfId="66" priority="51">
      <formula>AND(D13&lt;&gt;"",ABS(D13-$Y$13)&lt;0.0001)</formula>
    </cfRule>
  </conditionalFormatting>
  <conditionalFormatting sqref="E9">
    <cfRule type="expression" dxfId="65" priority="5">
      <formula>AND(E9&lt;&gt;"",ABS(E9-$Z$9)&lt;0.0001)</formula>
    </cfRule>
    <cfRule type="expression" dxfId="64" priority="6">
      <formula>AND(E9&lt;&gt;"",ABS(E9-$Z$9)&gt;=0.0001)</formula>
    </cfRule>
  </conditionalFormatting>
  <conditionalFormatting sqref="E10">
    <cfRule type="expression" dxfId="63" priority="18">
      <formula>AND(E10&lt;&gt;"",ABS(E10-$Z$10)&gt;=0.0001)</formula>
    </cfRule>
    <cfRule type="expression" dxfId="62" priority="17">
      <formula>AND(E10&lt;&gt;"",ABS(E10-$Z$10)&lt;0.0001)</formula>
    </cfRule>
  </conditionalFormatting>
  <conditionalFormatting sqref="E11">
    <cfRule type="expression" dxfId="61" priority="29">
      <formula>AND(E11&lt;&gt;"",ABS(E11-$Z$11)&lt;0.0001)</formula>
    </cfRule>
    <cfRule type="expression" dxfId="60" priority="30">
      <formula>AND(E11&lt;&gt;"",ABS(E11-$Z$11)&gt;=0.0001)</formula>
    </cfRule>
  </conditionalFormatting>
  <conditionalFormatting sqref="E12">
    <cfRule type="expression" dxfId="59" priority="41">
      <formula>AND(E12&lt;&gt;"",ABS(E12-$Z$12)&lt;0.0001)</formula>
    </cfRule>
    <cfRule type="expression" dxfId="58" priority="42">
      <formula>AND(E12&lt;&gt;"",ABS(E12-$Z$12)&gt;=0.0001)</formula>
    </cfRule>
  </conditionalFormatting>
  <conditionalFormatting sqref="E13">
    <cfRule type="expression" dxfId="57" priority="53">
      <formula>AND(E13&lt;&gt;"",ABS(E13-$Z$13)&lt;0.0001)</formula>
    </cfRule>
    <cfRule type="expression" dxfId="56" priority="54">
      <formula>AND(E13&lt;&gt;"",ABS(E13-$Z$13)&gt;=0.0001)</formula>
    </cfRule>
  </conditionalFormatting>
  <conditionalFormatting sqref="F9">
    <cfRule type="expression" dxfId="55" priority="8">
      <formula>AND(F9&lt;&gt;"",ABS(F9-$AA$9)&gt;=0.0001)</formula>
    </cfRule>
    <cfRule type="expression" dxfId="54" priority="7">
      <formula>AND(F9&lt;&gt;"",ABS(F9-$AA$9)&lt;0.0001)</formula>
    </cfRule>
  </conditionalFormatting>
  <conditionalFormatting sqref="F10">
    <cfRule type="expression" dxfId="53" priority="20">
      <formula>AND(F10&lt;&gt;"",ABS(F10-$AA$10)&gt;=0.0001)</formula>
    </cfRule>
    <cfRule type="expression" dxfId="52" priority="19">
      <formula>AND(F10&lt;&gt;"",ABS(F10-$AA$10)&lt;0.0001)</formula>
    </cfRule>
  </conditionalFormatting>
  <conditionalFormatting sqref="F11">
    <cfRule type="expression" dxfId="51" priority="32">
      <formula>AND(F11&lt;&gt;"",ABS(F11-$AA$11)&gt;=0.0001)</formula>
    </cfRule>
    <cfRule type="expression" dxfId="50" priority="31">
      <formula>AND(F11&lt;&gt;"",ABS(F11-$AA$11)&lt;0.0001)</formula>
    </cfRule>
  </conditionalFormatting>
  <conditionalFormatting sqref="F12">
    <cfRule type="expression" dxfId="49" priority="43">
      <formula>AND(F12&lt;&gt;"",ABS(F12-$AA$12)&lt;0.0001)</formula>
    </cfRule>
    <cfRule type="expression" dxfId="48" priority="44">
      <formula>AND(F12&lt;&gt;"",ABS(F12-$AA$12)&gt;=0.0001)</formula>
    </cfRule>
  </conditionalFormatting>
  <conditionalFormatting sqref="F13">
    <cfRule type="expression" dxfId="47" priority="55">
      <formula>AND(F13&lt;&gt;"",ABS(F13-$AA$13)&lt;0.0001)</formula>
    </cfRule>
    <cfRule type="expression" dxfId="46" priority="56">
      <formula>AND(F13&lt;&gt;"",ABS(F13-$AA$13)&gt;=0.0001)</formula>
    </cfRule>
  </conditionalFormatting>
  <conditionalFormatting sqref="G9">
    <cfRule type="expression" dxfId="45" priority="9">
      <formula>AND(G9&lt;&gt;"",ABS(G9-$AB$9)&lt;0.0001)</formula>
    </cfRule>
    <cfRule type="expression" dxfId="44" priority="10">
      <formula>AND(G9&lt;&gt;"",ABS(G9-$AB$9)&gt;=0.0001)</formula>
    </cfRule>
  </conditionalFormatting>
  <conditionalFormatting sqref="G10">
    <cfRule type="expression" dxfId="43" priority="22">
      <formula>AND(G10&lt;&gt;"",ABS(G10-$AB$10)&gt;=0.0001)</formula>
    </cfRule>
    <cfRule type="expression" dxfId="42" priority="21">
      <formula>AND(G10&lt;&gt;"",ABS(G10-$AB$10)&lt;0.0001)</formula>
    </cfRule>
  </conditionalFormatting>
  <conditionalFormatting sqref="G11">
    <cfRule type="expression" dxfId="41" priority="34">
      <formula>AND(G11&lt;&gt;"",ABS(G11-$AB$11)&gt;=0.0001)</formula>
    </cfRule>
    <cfRule type="expression" dxfId="40" priority="33">
      <formula>AND(G11&lt;&gt;"",ABS(G11-$AB$11)&lt;0.0001)</formula>
    </cfRule>
  </conditionalFormatting>
  <conditionalFormatting sqref="G12">
    <cfRule type="expression" dxfId="39" priority="45">
      <formula>AND(G12&lt;&gt;"",ABS(G12-$AB$12)&lt;0.0001)</formula>
    </cfRule>
    <cfRule type="expression" dxfId="38" priority="46">
      <formula>AND(G12&lt;&gt;"",ABS(G12-$AB$12)&gt;=0.0001)</formula>
    </cfRule>
  </conditionalFormatting>
  <conditionalFormatting sqref="G13">
    <cfRule type="expression" dxfId="37" priority="57">
      <formula>AND(G13&lt;&gt;"",ABS(G13-$AB$13)&lt;0.0001)</formula>
    </cfRule>
    <cfRule type="expression" dxfId="36" priority="58">
      <formula>AND(G13&lt;&gt;"",ABS(G13-$AB$13)&gt;=0.0001)</formula>
    </cfRule>
  </conditionalFormatting>
  <conditionalFormatting sqref="H9">
    <cfRule type="expression" dxfId="35" priority="12">
      <formula>AND(H9&lt;&gt;"",ABS(H9-$AC$9)&gt;=0.0001)</formula>
    </cfRule>
    <cfRule type="expression" dxfId="34" priority="11">
      <formula>AND(H9&lt;&gt;"",ABS(H9-$AC$9)&lt;0.0001)</formula>
    </cfRule>
  </conditionalFormatting>
  <conditionalFormatting sqref="H10">
    <cfRule type="expression" dxfId="33" priority="24">
      <formula>AND(H10&lt;&gt;"",ABS(H10-$AC$10)&gt;=0.0001)</formula>
    </cfRule>
    <cfRule type="expression" dxfId="32" priority="23">
      <formula>AND(H10&lt;&gt;"",ABS(H10-$AC$10)&lt;0.0001)</formula>
    </cfRule>
  </conditionalFormatting>
  <conditionalFormatting sqref="H11">
    <cfRule type="expression" dxfId="31" priority="35">
      <formula>AND(H11&lt;&gt;"",ABS(H11-$AC$11)&lt;0.0001)</formula>
    </cfRule>
    <cfRule type="expression" dxfId="30" priority="36">
      <formula>AND(H11&lt;&gt;"",ABS(H11-$AC$11)&gt;=0.0001)</formula>
    </cfRule>
  </conditionalFormatting>
  <conditionalFormatting sqref="H12">
    <cfRule type="expression" dxfId="29" priority="47">
      <formula>AND(H12&lt;&gt;"",ABS(H12-$AC$12)&lt;0.0001)</formula>
    </cfRule>
    <cfRule type="expression" dxfId="28" priority="48">
      <formula>AND(H12&lt;&gt;"",ABS(H12-$AC$12)&gt;=0.0001)</formula>
    </cfRule>
  </conditionalFormatting>
  <conditionalFormatting sqref="H13">
    <cfRule type="expression" dxfId="27" priority="59">
      <formula>AND(H13&lt;&gt;"",ABS(H13-$AC$13)&lt;0.0001)</formula>
    </cfRule>
    <cfRule type="expression" dxfId="26" priority="60">
      <formula>AND(H13&lt;&gt;"",ABS(H13-$AC$13)&gt;=0.0001)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41"/>
  <sheetViews>
    <sheetView showGridLines="0" topLeftCell="A10" workbookViewId="0">
      <selection activeCell="P12" sqref="P12"/>
    </sheetView>
  </sheetViews>
  <sheetFormatPr defaultRowHeight="14.5" x14ac:dyDescent="0.35"/>
  <cols>
    <col min="2" max="2" width="18" customWidth="1"/>
    <col min="3" max="3" width="17.6328125" customWidth="1"/>
    <col min="4" max="4" width="16" customWidth="1"/>
    <col min="5" max="5" width="20.08984375" customWidth="1"/>
    <col min="6" max="6" width="21.1796875" customWidth="1"/>
    <col min="7" max="7" width="4" customWidth="1"/>
    <col min="8" max="8" width="18" customWidth="1"/>
    <col min="9" max="12" width="16" customWidth="1"/>
    <col min="13" max="13" width="18" customWidth="1"/>
    <col min="24" max="25" width="13" hidden="1" customWidth="1"/>
  </cols>
  <sheetData>
    <row r="1" spans="2:25" ht="22" customHeight="1" x14ac:dyDescent="0.35"/>
    <row r="2" spans="2:25" ht="22" customHeight="1" x14ac:dyDescent="0.35">
      <c r="B2" s="30" t="s">
        <v>66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2:25" ht="22" customHeight="1" x14ac:dyDescent="0.35"/>
    <row r="4" spans="2:25" ht="22" customHeight="1" x14ac:dyDescent="0.35">
      <c r="B4" s="31" t="s">
        <v>67</v>
      </c>
      <c r="C4" s="27"/>
      <c r="D4" s="37">
        <f>Lähtötiedot!C5</f>
        <v>0</v>
      </c>
      <c r="E4" s="27"/>
      <c r="H4" s="31" t="s">
        <v>68</v>
      </c>
      <c r="I4" s="26"/>
      <c r="J4" s="27"/>
      <c r="K4" s="37" t="str">
        <f>Lähtötiedot!C7</f>
        <v>Tammi–Kesäkuu</v>
      </c>
      <c r="L4" s="26"/>
      <c r="M4" s="27"/>
    </row>
    <row r="5" spans="2:25" ht="22" customHeight="1" x14ac:dyDescent="0.35"/>
    <row r="6" spans="2:25" ht="22" customHeight="1" x14ac:dyDescent="0.35"/>
    <row r="7" spans="2:25" ht="22" customHeight="1" x14ac:dyDescent="0.35">
      <c r="B7" s="31" t="s">
        <v>69</v>
      </c>
      <c r="C7" s="26"/>
      <c r="D7" s="27"/>
      <c r="E7" s="31" t="s">
        <v>70</v>
      </c>
      <c r="F7" s="26"/>
      <c r="G7" s="27"/>
      <c r="H7" s="31" t="s">
        <v>71</v>
      </c>
      <c r="I7" s="26"/>
      <c r="J7" s="27"/>
      <c r="K7" s="31" t="s">
        <v>64</v>
      </c>
      <c r="L7" s="26"/>
      <c r="M7" s="27"/>
    </row>
    <row r="8" spans="2:25" ht="22" customHeight="1" x14ac:dyDescent="0.35">
      <c r="B8" s="35">
        <f>Laskelmat!C15</f>
        <v>0</v>
      </c>
      <c r="C8" s="17"/>
      <c r="D8" s="18"/>
      <c r="E8" s="35">
        <f>Laskelmat!C16</f>
        <v>0</v>
      </c>
      <c r="F8" s="17"/>
      <c r="G8" s="18"/>
      <c r="H8" s="35">
        <f>Laskelmat!C17</f>
        <v>0</v>
      </c>
      <c r="I8" s="17"/>
      <c r="J8" s="18"/>
      <c r="K8" s="36">
        <f>Laskelmat!C19</f>
        <v>0</v>
      </c>
      <c r="L8" s="17"/>
      <c r="M8" s="18"/>
    </row>
    <row r="9" spans="2:25" ht="22" customHeight="1" x14ac:dyDescent="0.35">
      <c r="B9" s="22"/>
      <c r="C9" s="23"/>
      <c r="D9" s="24"/>
      <c r="E9" s="22"/>
      <c r="F9" s="23"/>
      <c r="G9" s="24"/>
      <c r="H9" s="22"/>
      <c r="I9" s="23"/>
      <c r="J9" s="24"/>
      <c r="K9" s="22"/>
      <c r="L9" s="23"/>
      <c r="M9" s="24"/>
    </row>
    <row r="10" spans="2:25" ht="22" customHeight="1" x14ac:dyDescent="0.35"/>
    <row r="11" spans="2:25" ht="22" customHeight="1" x14ac:dyDescent="0.35"/>
    <row r="12" spans="2:25" ht="26" customHeight="1" x14ac:dyDescent="0.35">
      <c r="B12" s="1" t="s">
        <v>72</v>
      </c>
      <c r="C12" s="2"/>
      <c r="E12" s="1" t="s">
        <v>73</v>
      </c>
      <c r="F12" s="2"/>
      <c r="H12" s="28" t="s">
        <v>74</v>
      </c>
      <c r="I12" s="17"/>
      <c r="J12" s="17"/>
      <c r="K12" s="17"/>
      <c r="L12" s="17"/>
      <c r="M12" s="18"/>
    </row>
    <row r="13" spans="2:25" ht="26" customHeight="1" x14ac:dyDescent="0.35">
      <c r="B13" s="4" t="s">
        <v>75</v>
      </c>
      <c r="C13" s="4" t="s">
        <v>76</v>
      </c>
      <c r="E13" s="4" t="s">
        <v>41</v>
      </c>
      <c r="F13" s="4" t="s">
        <v>43</v>
      </c>
      <c r="H13" s="19"/>
      <c r="I13" s="20"/>
      <c r="J13" s="20"/>
      <c r="K13" s="20"/>
      <c r="L13" s="20"/>
      <c r="M13" s="21"/>
    </row>
    <row r="14" spans="2:25" ht="26" customHeight="1" x14ac:dyDescent="0.35">
      <c r="B14" s="5" t="s">
        <v>21</v>
      </c>
      <c r="C14" s="8"/>
      <c r="E14" s="5" t="s">
        <v>44</v>
      </c>
      <c r="F14" s="15"/>
      <c r="H14" s="19"/>
      <c r="I14" s="20"/>
      <c r="J14" s="20"/>
      <c r="K14" s="20"/>
      <c r="L14" s="20"/>
      <c r="M14" s="21"/>
      <c r="X14">
        <f>Laskelmat!C13</f>
        <v>0</v>
      </c>
      <c r="Y14">
        <f>Kulut!D8</f>
        <v>0</v>
      </c>
    </row>
    <row r="15" spans="2:25" ht="26" customHeight="1" x14ac:dyDescent="0.35">
      <c r="B15" s="5" t="s">
        <v>22</v>
      </c>
      <c r="C15" s="8"/>
      <c r="E15" s="5" t="s">
        <v>46</v>
      </c>
      <c r="F15" s="15"/>
      <c r="H15" s="19"/>
      <c r="I15" s="20"/>
      <c r="J15" s="20"/>
      <c r="K15" s="20"/>
      <c r="L15" s="20"/>
      <c r="M15" s="21"/>
      <c r="X15">
        <f>Laskelmat!D13</f>
        <v>0</v>
      </c>
      <c r="Y15">
        <f>Kulut!D9</f>
        <v>0</v>
      </c>
    </row>
    <row r="16" spans="2:25" ht="26" customHeight="1" x14ac:dyDescent="0.35">
      <c r="B16" s="5" t="s">
        <v>23</v>
      </c>
      <c r="C16" s="8"/>
      <c r="E16" s="5" t="s">
        <v>47</v>
      </c>
      <c r="F16" s="15"/>
      <c r="H16" s="19"/>
      <c r="I16" s="20"/>
      <c r="J16" s="20"/>
      <c r="K16" s="20"/>
      <c r="L16" s="20"/>
      <c r="M16" s="21"/>
      <c r="X16">
        <f>Laskelmat!E13</f>
        <v>0</v>
      </c>
      <c r="Y16">
        <f>Kulut!D10</f>
        <v>0</v>
      </c>
    </row>
    <row r="17" spans="2:25" ht="26" customHeight="1" x14ac:dyDescent="0.35">
      <c r="B17" s="5" t="s">
        <v>24</v>
      </c>
      <c r="C17" s="8"/>
      <c r="E17" s="5" t="s">
        <v>49</v>
      </c>
      <c r="F17" s="15"/>
      <c r="H17" s="22"/>
      <c r="I17" s="23"/>
      <c r="J17" s="23"/>
      <c r="K17" s="23"/>
      <c r="L17" s="23"/>
      <c r="M17" s="24"/>
      <c r="X17">
        <f>Laskelmat!F13</f>
        <v>0</v>
      </c>
      <c r="Y17">
        <f>Kulut!D11</f>
        <v>0</v>
      </c>
    </row>
    <row r="18" spans="2:25" ht="22" customHeight="1" x14ac:dyDescent="0.35">
      <c r="B18" s="5" t="s">
        <v>25</v>
      </c>
      <c r="C18" s="8"/>
      <c r="E18" s="5" t="s">
        <v>50</v>
      </c>
      <c r="F18" s="15"/>
      <c r="X18">
        <f>Laskelmat!G13</f>
        <v>0</v>
      </c>
      <c r="Y18">
        <f>Kulut!D12</f>
        <v>0</v>
      </c>
    </row>
    <row r="19" spans="2:25" ht="22" customHeight="1" x14ac:dyDescent="0.35">
      <c r="B19" s="5" t="s">
        <v>26</v>
      </c>
      <c r="C19" s="8"/>
      <c r="E19" s="5" t="s">
        <v>51</v>
      </c>
      <c r="F19" s="15"/>
      <c r="X19">
        <f>Laskelmat!H13</f>
        <v>0</v>
      </c>
      <c r="Y19">
        <f>Kulut!D13</f>
        <v>0</v>
      </c>
    </row>
    <row r="20" spans="2:25" ht="22" customHeight="1" x14ac:dyDescent="0.35"/>
    <row r="21" spans="2:25" ht="22" customHeight="1" x14ac:dyDescent="0.35"/>
    <row r="22" spans="2:25" ht="22" customHeight="1" x14ac:dyDescent="0.35"/>
    <row r="23" spans="2:25" ht="22" customHeight="1" x14ac:dyDescent="0.35"/>
    <row r="24" spans="2:25" ht="22" customHeight="1" x14ac:dyDescent="0.35"/>
    <row r="25" spans="2:25" ht="22" customHeight="1" x14ac:dyDescent="0.35"/>
    <row r="26" spans="2:25" ht="22" customHeight="1" x14ac:dyDescent="0.35"/>
    <row r="27" spans="2:25" ht="22" customHeight="1" x14ac:dyDescent="0.35"/>
    <row r="28" spans="2:25" ht="22" customHeight="1" x14ac:dyDescent="0.35"/>
    <row r="29" spans="2:25" ht="22" customHeight="1" x14ac:dyDescent="0.35"/>
    <row r="30" spans="2:25" ht="22" customHeight="1" x14ac:dyDescent="0.35"/>
    <row r="31" spans="2:25" ht="26" customHeight="1" x14ac:dyDescent="0.35">
      <c r="B31" s="31" t="s">
        <v>77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7"/>
    </row>
    <row r="32" spans="2:25" ht="26" customHeight="1" x14ac:dyDescent="0.35">
      <c r="B32" s="3" t="s">
        <v>78</v>
      </c>
      <c r="C32" s="34" t="e">
        <f>INDEX(B14:B19,MATCH(MAX(C14:C19),C14:C19,0))&amp;" ("&amp;TEXT(MAX(C14:C19),"#,##0.00 €")&amp;")"</f>
        <v>#N/A</v>
      </c>
      <c r="D32" s="26"/>
      <c r="E32" s="26"/>
      <c r="F32" s="26"/>
      <c r="G32" s="26"/>
      <c r="H32" s="26"/>
      <c r="I32" s="26"/>
      <c r="J32" s="26"/>
      <c r="K32" s="26"/>
      <c r="L32" s="26"/>
      <c r="M32" s="27"/>
    </row>
    <row r="33" spans="2:13" ht="26" customHeight="1" x14ac:dyDescent="0.35">
      <c r="B33" s="3" t="s">
        <v>79</v>
      </c>
      <c r="C33" s="34" t="e">
        <f>INDEX(B14:B19,MATCH(MIN(C14:C19),C14:C19,0))&amp;" ("&amp;TEXT(MIN(C14:C19),"#,##0.00 €")&amp;")"</f>
        <v>#N/A</v>
      </c>
      <c r="D33" s="26"/>
      <c r="E33" s="26"/>
      <c r="F33" s="26"/>
      <c r="G33" s="26"/>
      <c r="H33" s="26"/>
      <c r="I33" s="26"/>
      <c r="J33" s="26"/>
      <c r="K33" s="26"/>
      <c r="L33" s="26"/>
      <c r="M33" s="27"/>
    </row>
    <row r="34" spans="2:13" ht="26" customHeight="1" x14ac:dyDescent="0.35">
      <c r="B34" s="3" t="s">
        <v>80</v>
      </c>
      <c r="C34" s="34" t="e">
        <f>INDEX(E14:E19,MATCH(MAX(F14:F19),F14:F19,0))&amp;" ("&amp;TEXT(MAX(F14:F19),"0.0%")&amp;")"</f>
        <v>#N/A</v>
      </c>
      <c r="D34" s="26"/>
      <c r="E34" s="26"/>
      <c r="F34" s="26"/>
      <c r="G34" s="26"/>
      <c r="H34" s="26"/>
      <c r="I34" s="26"/>
      <c r="J34" s="26"/>
      <c r="K34" s="26"/>
      <c r="L34" s="26"/>
      <c r="M34" s="27"/>
    </row>
    <row r="35" spans="2:13" ht="26" customHeight="1" x14ac:dyDescent="0.35">
      <c r="B35" s="3" t="s">
        <v>71</v>
      </c>
      <c r="C35" s="34" t="e">
        <f>"Budjetoitu tulos: "&amp;TEXT(H8,"#,##0.00 €")&amp;" | Liiketulos-%: "&amp;TEXT(K8,"0.0%")</f>
        <v>#VALUE!</v>
      </c>
      <c r="D35" s="26"/>
      <c r="E35" s="26"/>
      <c r="F35" s="26"/>
      <c r="G35" s="26"/>
      <c r="H35" s="26"/>
      <c r="I35" s="26"/>
      <c r="J35" s="26"/>
      <c r="K35" s="26"/>
      <c r="L35" s="26"/>
      <c r="M35" s="27"/>
    </row>
    <row r="36" spans="2:13" ht="22" customHeight="1" x14ac:dyDescent="0.35"/>
    <row r="37" spans="2:13" ht="22" customHeight="1" x14ac:dyDescent="0.35"/>
    <row r="38" spans="2:13" ht="22" customHeight="1" x14ac:dyDescent="0.35"/>
    <row r="39" spans="2:13" ht="22" customHeight="1" x14ac:dyDescent="0.35"/>
    <row r="40" spans="2:13" ht="22" customHeight="1" x14ac:dyDescent="0.35"/>
    <row r="41" spans="2:13" ht="22" customHeight="1" x14ac:dyDescent="0.35"/>
  </sheetData>
  <mergeCells count="19">
    <mergeCell ref="B2:M2"/>
    <mergeCell ref="C34:M34"/>
    <mergeCell ref="C33:M33"/>
    <mergeCell ref="H8:J9"/>
    <mergeCell ref="H12:M17"/>
    <mergeCell ref="H7:J7"/>
    <mergeCell ref="K4:M4"/>
    <mergeCell ref="D4:E4"/>
    <mergeCell ref="H4:J4"/>
    <mergeCell ref="B4:C4"/>
    <mergeCell ref="C35:M35"/>
    <mergeCell ref="E8:G9"/>
    <mergeCell ref="E7:G7"/>
    <mergeCell ref="K7:M7"/>
    <mergeCell ref="B8:D9"/>
    <mergeCell ref="B7:D7"/>
    <mergeCell ref="B31:M31"/>
    <mergeCell ref="C32:M32"/>
    <mergeCell ref="K8:M9"/>
  </mergeCells>
  <conditionalFormatting sqref="C14">
    <cfRule type="expression" dxfId="25" priority="1">
      <formula>AND(C14&lt;&gt;"",ABS(C14-$X$14)&lt;0.0001)</formula>
    </cfRule>
    <cfRule type="expression" dxfId="24" priority="2">
      <formula>AND(C14&lt;&gt;"",ABS(C14-$X$14)&gt;=0.0001)</formula>
    </cfRule>
  </conditionalFormatting>
  <conditionalFormatting sqref="C15">
    <cfRule type="expression" dxfId="23" priority="5">
      <formula>AND(C15&lt;&gt;"",ABS(C15-$X$15)&lt;0.0001)</formula>
    </cfRule>
    <cfRule type="expression" dxfId="22" priority="6">
      <formula>AND(C15&lt;&gt;"",ABS(C15-$X$15)&gt;=0.0001)</formula>
    </cfRule>
  </conditionalFormatting>
  <conditionalFormatting sqref="C16">
    <cfRule type="expression" dxfId="21" priority="9">
      <formula>AND(C16&lt;&gt;"",ABS(C16-$X$16)&lt;0.0001)</formula>
    </cfRule>
    <cfRule type="expression" dxfId="20" priority="10">
      <formula>AND(C16&lt;&gt;"",ABS(C16-$X$16)&gt;=0.0001)</formula>
    </cfRule>
  </conditionalFormatting>
  <conditionalFormatting sqref="C17">
    <cfRule type="expression" dxfId="19" priority="13">
      <formula>AND(C17&lt;&gt;"",ABS(C17-$X$17)&lt;0.0001)</formula>
    </cfRule>
    <cfRule type="expression" dxfId="18" priority="14">
      <formula>AND(C17&lt;&gt;"",ABS(C17-$X$17)&gt;=0.0001)</formula>
    </cfRule>
  </conditionalFormatting>
  <conditionalFormatting sqref="C18">
    <cfRule type="expression" dxfId="17" priority="17">
      <formula>AND(C18&lt;&gt;"",ABS(C18-$X$18)&lt;0.0001)</formula>
    </cfRule>
    <cfRule type="expression" dxfId="16" priority="18">
      <formula>AND(C18&lt;&gt;"",ABS(C18-$X$18)&gt;=0.0001)</formula>
    </cfRule>
  </conditionalFormatting>
  <conditionalFormatting sqref="C19">
    <cfRule type="expression" dxfId="15" priority="21">
      <formula>AND(C19&lt;&gt;"",ABS(C19-$X$19)&lt;0.0001)</formula>
    </cfRule>
    <cfRule type="expression" dxfId="14" priority="22">
      <formula>AND(C19&lt;&gt;"",ABS(C19-$X$19)&gt;=0.0001)</formula>
    </cfRule>
  </conditionalFormatting>
  <conditionalFormatting sqref="F14">
    <cfRule type="expression" dxfId="13" priority="3">
      <formula>AND(F14&lt;&gt;"",ABS(F14-$Y$14)&lt;0.0001)</formula>
    </cfRule>
    <cfRule type="expression" dxfId="12" priority="4">
      <formula>AND(F14&lt;&gt;"",ABS(F14-$Y$14)&gt;=0.0001)</formula>
    </cfRule>
  </conditionalFormatting>
  <conditionalFormatting sqref="F15">
    <cfRule type="expression" dxfId="11" priority="7">
      <formula>AND(F15&lt;&gt;"",ABS(F15-$Y$15)&lt;0.0001)</formula>
    </cfRule>
    <cfRule type="expression" dxfId="10" priority="8">
      <formula>AND(F15&lt;&gt;"",ABS(F15-$Y$15)&gt;=0.0001)</formula>
    </cfRule>
  </conditionalFormatting>
  <conditionalFormatting sqref="F16">
    <cfRule type="expression" dxfId="9" priority="11">
      <formula>AND(F16&lt;&gt;"",ABS(F16-$Y$16)&lt;0.0001)</formula>
    </cfRule>
    <cfRule type="expression" dxfId="8" priority="12">
      <formula>AND(F16&lt;&gt;"",ABS(F16-$Y$16)&gt;=0.0001)</formula>
    </cfRule>
  </conditionalFormatting>
  <conditionalFormatting sqref="F17">
    <cfRule type="expression" dxfId="7" priority="15">
      <formula>AND(F17&lt;&gt;"",ABS(F17-$Y$17)&lt;0.0001)</formula>
    </cfRule>
    <cfRule type="expression" dxfId="6" priority="16">
      <formula>AND(F17&lt;&gt;"",ABS(F17-$Y$17)&gt;=0.0001)</formula>
    </cfRule>
  </conditionalFormatting>
  <conditionalFormatting sqref="F18">
    <cfRule type="expression" dxfId="5" priority="19">
      <formula>AND(F18&lt;&gt;"",ABS(F18-$Y$18)&lt;0.0001)</formula>
    </cfRule>
    <cfRule type="expression" dxfId="4" priority="20">
      <formula>AND(F18&lt;&gt;"",ABS(F18-$Y$18)&gt;=0.0001)</formula>
    </cfRule>
  </conditionalFormatting>
  <conditionalFormatting sqref="F19">
    <cfRule type="expression" dxfId="3" priority="23">
      <formula>AND(F19&lt;&gt;"",ABS(F19-$Y$19)&lt;0.0001)</formula>
    </cfRule>
    <cfRule type="expression" dxfId="2" priority="24">
      <formula>AND(F19&lt;&gt;"",ABS(F19-$Y$19)&gt;=0.0001)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6</vt:i4>
      </vt:variant>
    </vt:vector>
  </HeadingPairs>
  <TitlesOfParts>
    <vt:vector size="6" baseType="lpstr">
      <vt:lpstr>Ohjeet</vt:lpstr>
      <vt:lpstr>Lähtötiedot</vt:lpstr>
      <vt:lpstr>Kulut</vt:lpstr>
      <vt:lpstr>Laskelmat</vt:lpstr>
      <vt:lpstr>Yhteenveto</vt:lpstr>
      <vt:lpstr>Tarkistus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Rytkönen Tomi</cp:lastModifiedBy>
  <dcterms:created xsi:type="dcterms:W3CDTF">2026-04-16T05:30:46Z</dcterms:created>
  <dcterms:modified xsi:type="dcterms:W3CDTF">2026-04-24T07:12:45Z</dcterms:modified>
</cp:coreProperties>
</file>